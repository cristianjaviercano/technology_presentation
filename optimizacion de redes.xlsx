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istianjaviercanomogollon/Library/Mobile Documents/com~apple~CloudDocs/Documents/0. Unipontificabolivariana/3. Contenidos de Asignaturas/8.Optimizacion en Redes/"/>
    </mc:Choice>
  </mc:AlternateContent>
  <xr:revisionPtr revIDLastSave="0" documentId="13_ncr:1_{B1D476D0-1F68-684B-9F90-15A0B901A639}" xr6:coauthVersionLast="47" xr6:coauthVersionMax="47" xr10:uidLastSave="{00000000-0000-0000-0000-000000000000}"/>
  <bookViews>
    <workbookView xWindow="0" yWindow="0" windowWidth="28800" windowHeight="18000" xr2:uid="{6DCA5005-6355-DD46-8DDD-BBBA7A7F29A7}"/>
  </bookViews>
  <sheets>
    <sheet name="Optimizacion De Redes" sheetId="1" r:id="rId1"/>
  </sheets>
  <externalReferences>
    <externalReference r:id="rId2"/>
  </externalReferences>
  <definedNames>
    <definedName name="AMPLIO">'[1]Listas (1)'!$F$2:$F$13</definedName>
    <definedName name="AMPLIONBC">'[1]Listas (1)'!$H$2:$H$11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" i="1" l="1"/>
  <c r="A59" i="1"/>
  <c r="A58" i="1"/>
  <c r="A57" i="1"/>
  <c r="A56" i="1"/>
  <c r="A55" i="1"/>
  <c r="G17" i="1"/>
  <c r="D17" i="1"/>
  <c r="B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1C4A5372-A9B9-1C44-84AD-7936BA72F8EA}">
      <text>
        <r>
          <rPr>
            <sz val="10"/>
            <color rgb="FF000000"/>
            <rFont val="Arial"/>
            <family val="2"/>
          </rPr>
          <t xml:space="preserve">Escribir en mayúscula sostenida y con ortografía.
</t>
        </r>
      </text>
    </comment>
    <comment ref="A6" authorId="0" shapeId="0" xr:uid="{146AEBB8-6681-BF4A-BE6E-1AE4CDFBA9B6}">
      <text>
        <r>
          <rPr>
            <sz val="10"/>
            <color rgb="FF000000"/>
            <rFont val="Arial"/>
            <family val="2"/>
          </rPr>
          <t>Seleccione tanto el campo amplio como el campo detallado</t>
        </r>
      </text>
    </comment>
    <comment ref="A7" authorId="0" shapeId="0" xr:uid="{86F8494E-499B-1841-8617-41EEC164617B}">
      <text>
        <r>
          <rPr>
            <sz val="10"/>
            <color rgb="FF000000"/>
            <rFont val="Arial"/>
            <family val="2"/>
          </rPr>
          <t>Seleccione el Área del Conocimiento y el Núcleo Básico de Conocimiento</t>
        </r>
      </text>
    </comment>
    <comment ref="A12" authorId="0" shapeId="0" xr:uid="{ACE4056E-E5C0-3743-829A-603BBE1C41E6}">
      <text>
        <r>
          <rPr>
            <sz val="10"/>
            <color rgb="FF000000"/>
            <rFont val="Arial"/>
            <family val="2"/>
          </rPr>
          <t xml:space="preserve">Seleccione el ciclo de formación según corresponda y si es un curso electivo u optativo seleccione también la opción. 
</t>
        </r>
      </text>
    </comment>
    <comment ref="A14" authorId="0" shapeId="0" xr:uid="{E163D8CA-423C-D84D-A2B1-425F4596DD31}">
      <text>
        <r>
          <rPr>
            <sz val="10"/>
            <color rgb="FF000000"/>
            <rFont val="Arial"/>
            <family val="2"/>
          </rPr>
          <t xml:space="preserve">Escriba el número de créditos en cada casilla según corresponda.
</t>
        </r>
      </text>
    </comment>
    <comment ref="A16" authorId="0" shapeId="0" xr:uid="{38C08E44-1453-C84F-BB44-2C03C4A328E5}">
      <text>
        <r>
          <rPr>
            <sz val="10"/>
            <color rgb="FF000000"/>
            <rFont val="Arial"/>
            <family val="2"/>
          </rPr>
          <t>Escriba el número de horas totales del curso en cada casilla según corresponda.</t>
        </r>
      </text>
    </comment>
    <comment ref="F18" authorId="0" shapeId="0" xr:uid="{4F687ED5-73D3-114D-8683-A4C709F6215C}">
      <text>
        <r>
          <rPr>
            <sz val="10"/>
            <color rgb="FF000000"/>
            <rFont val="Arial"/>
            <family val="2"/>
          </rPr>
          <t>Selecciones una de las opciones según corresponda.</t>
        </r>
      </text>
    </comment>
    <comment ref="A22" authorId="0" shapeId="0" xr:uid="{45DFAF96-0BB9-114E-A6CC-2ED7552CD837}">
      <text>
        <r>
          <rPr>
            <sz val="10"/>
            <color rgb="FF000000"/>
            <rFont val="Arial"/>
            <family val="2"/>
          </rPr>
          <t>Formulados en términos de criterios de competencias y en primera persona. Los conceptuales se refieren a las teorías, conceptos, hechos o datos; los procedimentales se refieren a habilidades cognitivas o motoras, por ejemplo; sintetizar, analizar, resumir, resolver, manejar equipos, programas, entre otras. Los axiológicos se refieren a los valores o a actitudes, por ejemplo; el respeto, la solidaridad, la puntualidad. Un saber, no necesariamente tiene los tres componentes, esto se deja a consideración del experto en el tema.</t>
        </r>
      </text>
    </comment>
    <comment ref="A27" authorId="0" shapeId="0" xr:uid="{2BBDAC25-867E-C64A-885B-24C72060674C}">
      <text>
        <r>
          <rPr>
            <sz val="10"/>
            <color rgb="FF000000"/>
            <rFont val="Arial"/>
            <family val="2"/>
          </rPr>
          <t>Aproximadamente 100 palabras.</t>
        </r>
      </text>
    </comment>
    <comment ref="A28" authorId="0" shapeId="0" xr:uid="{2A97FEC8-F912-E442-B16D-394A5CC290FD}">
      <text>
        <r>
          <rPr>
            <sz val="10"/>
            <color rgb="FF000000"/>
            <rFont val="Arial"/>
            <family val="2"/>
          </rPr>
          <t xml:space="preserve">Redacción en forma sustantivada (Aproximadamente 50 palabras). </t>
        </r>
      </text>
    </comment>
    <comment ref="A29" authorId="0" shapeId="0" xr:uid="{BD173A3B-DF69-A545-881D-33764CC7CDFB}">
      <text>
        <r>
          <rPr>
            <sz val="10"/>
            <color rgb="FF000000"/>
            <rFont val="Arial"/>
            <family val="2"/>
          </rPr>
          <t>Se transcriben de la declaración que ha hecho el programa académico, en el mapa de Capacidades Humanas y Competencias, en la columna: Formulación de Capacidades Humanas, de acuerdo con el ciclo al que pertenece este curso.</t>
        </r>
      </text>
    </comment>
    <comment ref="B29" authorId="0" shapeId="0" xr:uid="{DC8CEC4D-657F-6F4C-AEE0-7274164FD1D6}">
      <text>
        <r>
          <rPr>
            <sz val="10"/>
            <color rgb="FF000000"/>
            <rFont val="Arial"/>
            <family val="2"/>
          </rPr>
          <t>Víctor Mario Noble Ramos:
Esto viene del MAPA DE CAP HUMANAS</t>
        </r>
      </text>
    </comment>
    <comment ref="A30" authorId="0" shapeId="0" xr:uid="{4EC7C322-747C-CB4C-AE91-D2F356FA264F}">
      <text>
        <r>
          <rPr>
            <sz val="10"/>
            <color rgb="FF000000"/>
            <rFont val="Arial"/>
            <family val="2"/>
          </rPr>
          <t>Se transcribe de la declaración que ha hecho el programa académico, en el mapa de Capacidades Humanas y Competencias, en la columna: Dominio de competencias, de acuerdo con el área o núcleo al que pertenece este curso.</t>
        </r>
      </text>
    </comment>
    <comment ref="B30" authorId="0" shapeId="0" xr:uid="{3FBD8E27-4F05-8A4E-A0F9-A4DBC570E876}">
      <text>
        <r>
          <rPr>
            <sz val="10"/>
            <color rgb="FF000000"/>
            <rFont val="Arial"/>
            <family val="2"/>
          </rPr>
          <t>Se transcribe de la declaración que ha hecho el programa académico, en el mapa de Capacidades Humanas y Competencias, en la columna: Formulación de competencias, de acuerdo con el área o núcleo al que pertenece este curso. Si hay varios numerales aquí, divida las casillas correspondientes  al número de criterios, de manera que apunten en total a los 8 criterios de competencia.</t>
        </r>
      </text>
    </comment>
    <comment ref="C30" authorId="0" shapeId="0" xr:uid="{2AA98F53-92D9-5A41-AC40-1C4D0874A538}">
      <text>
        <r>
          <rPr>
            <sz val="10"/>
            <color rgb="FF000000"/>
            <rFont val="Arial"/>
            <family val="2"/>
          </rPr>
          <t>Se transcribe de la declaración que ha hecho el programa académico, en el mapa de Capacidades Humanas y Competencias, en la columna: Criterios de competencias, de acuerdo con el curso.</t>
        </r>
      </text>
    </comment>
    <comment ref="F30" authorId="0" shapeId="0" xr:uid="{C17485CB-A083-194B-892E-E46E5EC4F427}">
      <text>
        <r>
          <rPr>
            <sz val="10"/>
            <color rgb="FF000000"/>
            <rFont val="Arial"/>
            <family val="2"/>
          </rPr>
          <t xml:space="preserve">Se transcribe de la declaración que ha hecho el programa académico, en el mapa de Capacidades Humanas y Competencias, en la columna: Nivel de desarrollo de la competencia, de acuerdo con cada criterio de competencia.  Marque con una X según corresponda.
</t>
        </r>
      </text>
    </comment>
    <comment ref="G30" authorId="0" shapeId="0" xr:uid="{12D4E002-EAD1-AB42-BF2E-1F63877EA6F4}">
      <text>
        <r>
          <rPr>
            <sz val="10"/>
            <color rgb="FF000000"/>
            <rFont val="Arial"/>
            <family val="2"/>
          </rPr>
          <t xml:space="preserve">Que permitan el desarrollo de las competencias. Se declaran los contenidos conceptuales, procedimentales y axiológicos. Se escriben en forma sustantivada.
</t>
        </r>
      </text>
    </comment>
    <comment ref="A32" authorId="0" shapeId="0" xr:uid="{69AE818F-5B9A-DF4F-93F6-9B00ED5458A0}">
      <text>
        <r>
          <rPr>
            <sz val="10"/>
            <color rgb="FF000000"/>
            <rFont val="Arial"/>
            <family val="2"/>
          </rPr>
          <t>Víctor Mario Noble Ramos:
Esto viene del MAPA DE CAP HUMANAS</t>
        </r>
      </text>
    </comment>
    <comment ref="B32" authorId="0" shapeId="0" xr:uid="{98CBE934-F73D-DE4C-8ACC-7F7AF274305E}">
      <text>
        <r>
          <rPr>
            <sz val="10"/>
            <color rgb="FF000000"/>
            <rFont val="Arial"/>
            <family val="2"/>
          </rPr>
          <t>Víctor Mario Noble Ramos:
Esto viene del MAPA DE CAP HUMANAS</t>
        </r>
      </text>
    </comment>
    <comment ref="E53" authorId="0" shapeId="0" xr:uid="{74D8BC2E-8509-6F4E-AA76-A0C8121946A2}">
      <text>
        <r>
          <rPr>
            <sz val="10"/>
            <color rgb="FF000000"/>
            <rFont val="Arial"/>
            <family val="2"/>
          </rPr>
          <t xml:space="preserve">La suma de los porcentajes de todos los criterios debe ser del 100%.
</t>
        </r>
      </text>
    </comment>
    <comment ref="G53" authorId="0" shapeId="0" xr:uid="{09BCCD38-DA5E-B14B-8E0F-9B26E44E5487}">
      <text>
        <r>
          <rPr>
            <sz val="10"/>
            <color rgb="FF000000"/>
            <rFont val="Arial"/>
            <family val="2"/>
          </rPr>
          <t>Se transcribe de la declaración que ha hecho el programa académico, en el mapa de Capacidades Humanas y Competencias, en la columna: Evidencias.</t>
        </r>
      </text>
    </comment>
    <comment ref="A68" authorId="0" shapeId="0" xr:uid="{18AB6568-0534-6A42-81F2-7E2F47F7E776}">
      <text>
        <r>
          <rPr>
            <sz val="10"/>
            <color rgb="FF000000"/>
            <rFont val="Arial"/>
            <family val="2"/>
          </rPr>
          <t xml:space="preserve">Recuerde enviar al correo catalogo@upb.edu.co, la solicitud con la copia del acta donde se aprueba.
</t>
        </r>
      </text>
    </comment>
    <comment ref="A69" authorId="0" shapeId="0" xr:uid="{35E25650-8338-3D4B-B43C-D2803B3113DD}">
      <text>
        <r>
          <rPr>
            <sz val="10"/>
            <color rgb="FF000000"/>
            <rFont val="Arial"/>
            <family val="2"/>
          </rPr>
          <t xml:space="preserve">Recuerde enviar al correo catalogo@upb.edu.co, la solicitud con la copia del acta donde se aprueba.
</t>
        </r>
      </text>
    </comment>
  </commentList>
</comments>
</file>

<file path=xl/sharedStrings.xml><?xml version="1.0" encoding="utf-8"?>
<sst xmlns="http://schemas.openxmlformats.org/spreadsheetml/2006/main" count="96" uniqueCount="91">
  <si>
    <r>
      <t xml:space="preserve">CARTA DESCRIPTIVA DEL CURSO 
</t>
    </r>
    <r>
      <rPr>
        <sz val="8"/>
        <color rgb="FF000000"/>
        <rFont val="Arial"/>
        <family val="2"/>
      </rPr>
      <t>Código: DA-FO-085N
Versión: 1</t>
    </r>
  </si>
  <si>
    <t>IDENTIFICACIÓN DEL CURSO</t>
  </si>
  <si>
    <t>Nombre del curso:</t>
  </si>
  <si>
    <t>OPTIMIZACION DE REDES</t>
  </si>
  <si>
    <t>Código del curso:</t>
  </si>
  <si>
    <t>Campo diligenciado por la coordinación del catálogo</t>
  </si>
  <si>
    <t>Clasificación CINE</t>
  </si>
  <si>
    <t>Ingeniería_industria_y_construcción</t>
  </si>
  <si>
    <t>715 - Mecánica y profesiones afines a la metalistería</t>
  </si>
  <si>
    <t>Núcleo Básico de Conocimiento:</t>
  </si>
  <si>
    <t>Ingeniería_arquitectura_urbanismo_y_afines</t>
  </si>
  <si>
    <t>8830 - Ingeniería Industrial y afines</t>
  </si>
  <si>
    <t>Nombre de la Seccional que ofrece el curso:</t>
  </si>
  <si>
    <t>Montería</t>
  </si>
  <si>
    <t>Nombre de la Escuela que ofrece el curso:</t>
  </si>
  <si>
    <t>TI_Ingeniería_y_arquitectura</t>
  </si>
  <si>
    <t>Nombre del programa que diseña el curso:</t>
  </si>
  <si>
    <t>TCII - Ing. Industrial</t>
  </si>
  <si>
    <t>Nivel del curso:</t>
  </si>
  <si>
    <t>Pregrado</t>
  </si>
  <si>
    <t>Ciclo de Formación</t>
  </si>
  <si>
    <t xml:space="preserve">  Pregrado                                                                                                       </t>
  </si>
  <si>
    <t xml:space="preserve">  Postgrado</t>
  </si>
  <si>
    <t>Número de créditos</t>
  </si>
  <si>
    <t xml:space="preserve">Académicos </t>
  </si>
  <si>
    <t>Facturables</t>
  </si>
  <si>
    <t>Número de horas</t>
  </si>
  <si>
    <t>Teóricas</t>
  </si>
  <si>
    <t>Laboratorio o práctica</t>
  </si>
  <si>
    <t>Trabajo independiente del estudiante</t>
  </si>
  <si>
    <t>Otras horas</t>
  </si>
  <si>
    <t xml:space="preserve">Metodología del curso: </t>
  </si>
  <si>
    <t xml:space="preserve">Porcentaje de presencialidad </t>
  </si>
  <si>
    <t xml:space="preserve">Porcentaje de virtualidad </t>
  </si>
  <si>
    <t>Modalidad del Curso</t>
  </si>
  <si>
    <t xml:space="preserve">Modo de Calificación  </t>
  </si>
  <si>
    <t>1 - Cuantitativa de 0.0 a 5.0</t>
  </si>
  <si>
    <t xml:space="preserve">Saberes previos </t>
  </si>
  <si>
    <t>Conceptuales - Procedimentales - Axiológicos</t>
  </si>
  <si>
    <r>
      <rPr>
        <b/>
        <sz val="10"/>
        <color rgb="FF000000"/>
        <rFont val="Arial"/>
        <family val="2"/>
      </rPr>
      <t>Conceptuales:</t>
    </r>
    <r>
      <rPr>
        <sz val="10"/>
        <color rgb="FF000000"/>
        <rFont val="Arial"/>
        <family val="2"/>
      </rPr>
      <t xml:space="preserve">
Comprendo e identifico  los diferentes modelos de programación lineal, sus metódos de solución y sus aplicaciones a la vida diaria.
</t>
    </r>
    <r>
      <rPr>
        <b/>
        <sz val="10"/>
        <color rgb="FF000000"/>
        <rFont val="Arial"/>
        <family val="2"/>
      </rPr>
      <t>Procedimentales:</t>
    </r>
    <r>
      <rPr>
        <sz val="10"/>
        <color rgb="FF000000"/>
        <rFont val="Arial"/>
        <family val="2"/>
      </rPr>
      <t xml:space="preserve">
Formulo rigurosamente un problema de optimización a partir de una problemática real aplicando las herramientas de la programacion lineal. 
Implemento y resuelvo un modelo de optimización utilizando herramientas computacionales.
Analizo, interpreto y comunico apropiadamente los resultados de un modelo de optimización a profesionales en ingeniería y otras disciplinas.
</t>
    </r>
    <r>
      <rPr>
        <b/>
        <sz val="10"/>
        <color rgb="FF000000"/>
        <rFont val="Arial"/>
        <family val="2"/>
      </rPr>
      <t>Axiológicos:</t>
    </r>
    <r>
      <rPr>
        <sz val="10"/>
        <color rgb="FF000000"/>
        <rFont val="Arial"/>
        <family val="2"/>
      </rPr>
      <t xml:space="preserve">
Soy puntual al momento de llegar a las clases magistrales y en las entregas de actividades propuestas en el curso.
Valoro el uso del idioma inglés para profundizar en la información y el conocimiento.
Demuestro interés por aplicar los saberes previos en los procesos organizacionales.</t>
    </r>
  </si>
  <si>
    <t>CONCEPCIÓN DEL CURSO POR CAPACIDADES HUMANAS Y COMPETENCIAS</t>
  </si>
  <si>
    <t>Descripción del curso¹</t>
  </si>
  <si>
    <t>El presente curso se centra en el dominio de la tematica relacionada a la teoria de grafos, conocer su clasificacion, componetes y posibles aplicaciones en la vida real bajo este enfoque</t>
  </si>
  <si>
    <r>
      <t>Propósito de formación del curso</t>
    </r>
    <r>
      <rPr>
        <b/>
        <vertAlign val="superscript"/>
        <sz val="10"/>
        <color rgb="FF000000"/>
        <rFont val="Arial"/>
        <family val="2"/>
      </rPr>
      <t>2</t>
    </r>
  </si>
  <si>
    <t>El estudiante al final del curso; tendrá la capacidad de formular, implementar y solucionar por medio de un paquete moderno de programación matemática, problemas cotidianos bajo el enfoque de optimización en redes; y comunicará de la mejor manera la solucion obtenida para los problemas estudiados a cualquier profesional de la ingenieria y/o otras disciplinas.</t>
  </si>
  <si>
    <r>
      <t>Capacidad (es) humana (s)</t>
    </r>
    <r>
      <rPr>
        <b/>
        <vertAlign val="superscript"/>
        <sz val="10"/>
        <color rgb="FF000000"/>
        <rFont val="Arial"/>
        <family val="2"/>
      </rPr>
      <t xml:space="preserve">3 </t>
    </r>
    <r>
      <rPr>
        <b/>
        <sz val="10"/>
        <color rgb="FF000000"/>
        <rFont val="Arial"/>
        <family val="2"/>
      </rPr>
      <t xml:space="preserve"> del ciclo que desarrolla el curso</t>
    </r>
  </si>
  <si>
    <t>Estudia, comprende, diseña, controla y mejora los aspectos inherentes a los sistemas productivos, acorde a las normas vigentes y los integra con las partes interesadas de un entorno económico  (gobierno, proveedores, clientes, empleados, accionistas, etc.).</t>
  </si>
  <si>
    <r>
      <t>Dominio de competencias</t>
    </r>
    <r>
      <rPr>
        <b/>
        <vertAlign val="superscript"/>
        <sz val="10"/>
        <color rgb="FF000000"/>
        <rFont val="Arial"/>
        <family val="2"/>
      </rPr>
      <t>4</t>
    </r>
  </si>
  <si>
    <r>
      <t>Formulación  de la competencia</t>
    </r>
    <r>
      <rPr>
        <b/>
        <vertAlign val="superscript"/>
        <sz val="10"/>
        <color rgb="FF000000"/>
        <rFont val="Arial"/>
        <family val="2"/>
      </rPr>
      <t>5</t>
    </r>
  </si>
  <si>
    <r>
      <t>Criterios de competencia del curso</t>
    </r>
    <r>
      <rPr>
        <b/>
        <vertAlign val="superscript"/>
        <sz val="10"/>
        <color rgb="FF000000"/>
        <rFont val="Arial"/>
        <family val="2"/>
      </rPr>
      <t>6</t>
    </r>
  </si>
  <si>
    <r>
      <t>Nivel de desarrollo</t>
    </r>
    <r>
      <rPr>
        <b/>
        <vertAlign val="superscript"/>
        <sz val="10"/>
        <color rgb="FF000000"/>
        <rFont val="Arial"/>
        <family val="2"/>
      </rPr>
      <t xml:space="preserve">7 </t>
    </r>
    <r>
      <rPr>
        <b/>
        <sz val="10"/>
        <color rgb="FF000000"/>
        <rFont val="Arial"/>
        <family val="2"/>
      </rPr>
      <t xml:space="preserve"> </t>
    </r>
  </si>
  <si>
    <t xml:space="preserve">Contenidos y experiencias de aprendizaje </t>
  </si>
  <si>
    <t>OPTIMIZACION Y ESTADISTICA APLICADA</t>
  </si>
  <si>
    <t>• Reconoce y aplica diferentes modelos estadísticos con el fin de analizar datos y obtener información relevante que apoye la toma de decisiones
• Utiliza herramientas de la Investigación de Operaciones para la solución de problemas y mejora de procesos en las organizaciones</t>
  </si>
  <si>
    <t>1. Reconozco los conceptos asociados a la Teoria De Grafos y su aplicación en problemas del contexto</t>
  </si>
  <si>
    <t>Receptivo</t>
  </si>
  <si>
    <t xml:space="preserve">Conceptuales: Distingue el concepto de un grafo, su clasificacion  y  los componentes que los conforman
Procedimentales:  Representa por medio de diagramas diferentes tipos de grafos, teniendo en cuenta su clasificacion y los componentes que lo conforman
Actitudinales:Se interesa por conocer que problemas del contexto se pueden trabajos bajo un enfoque de teoria de grafos
Conceptuales:
Indentifica situaciones reales que se pueden modelar bajo los problemas de asignacion y transporte
Procedimentales:
Formula problemas lineales enteros, binarios o mixtos aplicados a diferentes problemas de de asignacion y transporte.
Actitudinales:
Prefiere abordar por medio de la modelacion matematica entera los problemas que se presentan en contexto real.
Conceptuales:
Comprende los pasos lógicos en el desarrollo de algoritmos de solución como el método de la esquina noreste y el metodo hungaro respectivamente.
 Procedimentales:
Resuelve modelos matematicos utilizando el metodo de la esquina noreste y/o metodo hungaro
Actitudinales:
Interioriza los métodos de solución usados con frecuencia en los problemas de transporte  y de asignacion
Conceptuales:
Comprende  los  problemas de arbol de expansion minima, flujo maximo;  ademas, de los pasos lógicos en el desarrollo de algoritmos de solución. 
 Procedimentales:
Resuelve  problemas de arbol de expansion minima, flujo maximo utilizando sus metodos de solucion tales como el algortimo de prim.
Actitudinales:
Interioriza los métodos de solución usados con frecuencia en los  problemas de arbol de expansion minima, flujo maximo
Conceptuales:
Comprende el  problema de la  ruta mas corta;  ademas, de los pasos lógicos en el desarrollo de algoritmos de solución. 
 Procedimentales:
Resuelve   el  problema de la  ruta mas corta utilizando sus metodos de solucion tales como el algoritmo de Dijkstra, Bellman Ford
Actitudinales:
Interioriza los métodos de solución usados con frecuencia en  el  problema de la  ruta mas corta
Conceptuales:
Comprende los problemas de ruta critica, PERT, PERT- COSt ;  ademas, de los pasos lógicos en el desarrollo de algoritmos de solución. 
 Procedimentales:
Resuelve  los problemas de ruta critica, PERT, PERT- COSt utilizando sus metodos de solucion.
Actitudinales:
Interioriza los métodos de solución usados con frecuencia enlos problemas de ruta critica, PERT, PERT- COSt </t>
  </si>
  <si>
    <t>2.Construyo modelos matematicos basados en el Problema de transporte, asignacion.</t>
  </si>
  <si>
    <t>Autónomo</t>
  </si>
  <si>
    <t>3.Comprendo los metodos de solucion para el problema de transporte y de asignacion</t>
  </si>
  <si>
    <t>4.Conozco los problemas de arbol de expansion minima, flujo maximo y sus algoritmos de solucion</t>
  </si>
  <si>
    <t>5. Conozco el  problemas de ruta mas corta y sus algoritmos de solucion</t>
  </si>
  <si>
    <t>6. Conozco los problemas de ruta critica, PERT, PERT- COSt y su aplicación a la gestion de proyectos</t>
  </si>
  <si>
    <t>PROCESO DE ENSEÑANZA Y APRENDIZAJE POR CAPACIDADES HUMANAS Y COMPETENCIAS</t>
  </si>
  <si>
    <r>
      <t>Determinación de las modalidades y métodos de enseñanza y aprendizaje</t>
    </r>
    <r>
      <rPr>
        <b/>
        <vertAlign val="superscript"/>
        <sz val="10"/>
        <color rgb="FF000000"/>
        <rFont val="Arial"/>
        <family val="2"/>
      </rPr>
      <t>8</t>
    </r>
    <r>
      <rPr>
        <b/>
        <sz val="10"/>
        <color rgb="FF000000"/>
        <rFont val="Arial"/>
        <family val="2"/>
      </rPr>
      <t xml:space="preserve"> (Descripción de las maneras cómo va ayudar a desarrollar las capacidades humanas y competencias en los espacios de formación: métodos, modalidades, metodologías). </t>
    </r>
  </si>
  <si>
    <r>
      <rPr>
        <b/>
        <sz val="10"/>
        <color rgb="FF000000"/>
        <rFont val="Arial"/>
        <family val="2"/>
      </rPr>
      <t>Modalidades:</t>
    </r>
    <r>
      <rPr>
        <sz val="10"/>
        <color rgb="FF000000"/>
        <rFont val="Arial"/>
        <family val="2"/>
      </rPr>
      <t xml:space="preserve"> Clases téoricas, talleres, Clases prácticas, Trabajo autónomo individual, laboratorios, prácticas externas, tutorías y propios del saber.
</t>
    </r>
    <r>
      <rPr>
        <b/>
        <sz val="10"/>
        <color rgb="FF000000"/>
        <rFont val="Arial"/>
        <family val="2"/>
      </rPr>
      <t>Métodos de enseñanza y aprendizaje:</t>
    </r>
    <r>
      <rPr>
        <sz val="10"/>
        <color rgb="FF000000"/>
        <rFont val="Arial"/>
        <family val="2"/>
      </rPr>
      <t xml:space="preserve"> Método Expositivo/Lección Magistral, Resolución de Ejercicios, Aprendizaje Cooperativo, Salidas de camp.</t>
    </r>
  </si>
  <si>
    <r>
      <t>VALORACIÓN  DE LAS COMPETENCIAS</t>
    </r>
    <r>
      <rPr>
        <b/>
        <vertAlign val="superscript"/>
        <sz val="10"/>
        <color rgb="FF000000"/>
        <rFont val="Arial"/>
        <family val="2"/>
      </rPr>
      <t xml:space="preserve">9  </t>
    </r>
  </si>
  <si>
    <t>Número del criterio</t>
  </si>
  <si>
    <t>Ponderación</t>
  </si>
  <si>
    <t>Evidencias</t>
  </si>
  <si>
    <t>Exposiciones y Linea de tiempo</t>
  </si>
  <si>
    <t>Examenes escritos y talleres</t>
  </si>
  <si>
    <t>Talleres y trabajos escritos</t>
  </si>
  <si>
    <t>Examenes escritos, talleres y trabajos escritos.</t>
  </si>
  <si>
    <t xml:space="preserve">Exposiciones </t>
  </si>
  <si>
    <t>REFERENCIAS</t>
  </si>
  <si>
    <t>Bibliografía básica:</t>
  </si>
  <si>
    <t xml:space="preserve">1. Taha, H. A. (2004). Investigación de operaciones. Pearson Educación.
2. Hillier, F. S., Lieberman, G. J., &amp; Osuna, M. A. G. (1997). Introducción a la Investigación de Operaciones (Vol. 1). McGraw-Hill.
3. Bazaraa, M. S., Jarvis, J. J., &amp; Sherali, H. D. (1981). Programación lineal y flujo en redes. Limusa.
4.Eppen, G. D. (2000). Investigación de operaciones en la ciencia administrativa: construcción de modelos para la toma de decisiones con hojas de cálculo electrónicas. Pearson educación.
</t>
  </si>
  <si>
    <t>Bibliografía en otros idiomas:</t>
  </si>
  <si>
    <t>1. Ahuja, R. K. (2017). Network flows: theory, algorithms, and applications. Pearson Education.
2. Arenales, M., Morabito, R., Armentano, V., &amp; Yanasse, H. (2015). Pesquisa operacional: para cursos de engenharia. Elsevier Brasil.</t>
  </si>
  <si>
    <t>Cibergrafía:</t>
  </si>
  <si>
    <t>https://ocw.mit.edu/courses/sloan-school-of-management/15-083j-integer-programming-and-combinatorial-optimization-fall-2009/download-course-materials/</t>
  </si>
  <si>
    <t>Bases de datos:</t>
  </si>
  <si>
    <t>Web of Science
Knovel
Science Direct
Virtual Pro</t>
  </si>
  <si>
    <t>Otros (Cuáles):</t>
  </si>
  <si>
    <t xml:space="preserve">Manual de guías de laboratorio de Ingeniería Industrial </t>
  </si>
  <si>
    <t>DATOS DE ELABORACIÓN Y ACTUALIZACIÓN</t>
  </si>
  <si>
    <t>Número y fecha del acta del comité de currículo donde se aprueba la creación  del curso:</t>
  </si>
  <si>
    <t>Acta # XXX de abril XXX de 2018.</t>
  </si>
  <si>
    <t>Número y fecha del acta del comité de currículo donde se aprueba la modificación del curso con su respectiva justificación:</t>
  </si>
  <si>
    <r>
      <t xml:space="preserve">Acta </t>
    </r>
    <r>
      <rPr>
        <b/>
        <sz val="10"/>
        <color rgb="FF000000"/>
        <rFont val="Arial"/>
        <family val="2"/>
      </rPr>
      <t># XXX de abril XXX de 2018.</t>
    </r>
    <r>
      <rPr>
        <sz val="10"/>
        <color rgb="FF000000"/>
        <rFont val="Arial"/>
        <family val="2"/>
      </rPr>
      <t xml:space="preserve">
Los criterios de competencia planteados en el área de Gestión de Operaciones y Logística, permitieron distribuir y complementar el contenido temático de la Optimizacion. Esto fue realizado mediante la creación de tres disciplinas que contienen el contenido temático: Programacion Lineal, Optimizacion Discreta y Optimizacion en redes. Inicialmente los contenidos estaban condensados en dos Cursos. Esto dificultaba el abordaje de temas importantes y generalmente el tiempo no alcanzaba para llegar a consolidar las competencias requeridas.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</si>
</sst>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b/>
      <sz val="8"/>
      <color rgb="FF0000FF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b/>
      <vertAlign val="superscript"/>
      <sz val="10"/>
      <color rgb="FF000000"/>
      <name val="Arial"/>
      <family val="2"/>
    </font>
    <font>
      <u/>
      <sz val="10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1" xfId="0" applyFont="1" applyBorder="1" applyAlignment="1">
      <alignment vertical="center" wrapText="1"/>
    </xf>
    <xf numFmtId="0" fontId="6" fillId="0" borderId="0" xfId="0" applyFont="1"/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/>
    <xf numFmtId="0" fontId="0" fillId="0" borderId="2" xfId="0" applyBorder="1" applyAlignment="1">
      <alignment horizontal="left" vertical="center" wrapText="1"/>
    </xf>
    <xf numFmtId="0" fontId="4" fillId="0" borderId="3" xfId="0" applyFont="1" applyBorder="1"/>
    <xf numFmtId="0" fontId="4" fillId="0" borderId="4" xfId="0" applyFont="1" applyBorder="1"/>
    <xf numFmtId="0" fontId="6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9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4" fillId="0" borderId="10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6" fillId="6" borderId="9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left" vertical="center" wrapText="1"/>
    </xf>
    <xf numFmtId="0" fontId="4" fillId="0" borderId="15" xfId="0" applyFont="1" applyBorder="1"/>
    <xf numFmtId="0" fontId="4" fillId="0" borderId="11" xfId="0" applyFont="1" applyBorder="1"/>
    <xf numFmtId="0" fontId="1" fillId="0" borderId="9" xfId="0" applyFont="1" applyBorder="1" applyAlignment="1">
      <alignment horizontal="left" vertical="center" wrapText="1"/>
    </xf>
    <xf numFmtId="0" fontId="4" fillId="0" borderId="5" xfId="0" applyFont="1" applyBorder="1"/>
    <xf numFmtId="0" fontId="4" fillId="0" borderId="6" xfId="0" applyFont="1" applyBorder="1"/>
    <xf numFmtId="0" fontId="0" fillId="0" borderId="9" xfId="0" applyBorder="1" applyAlignment="1">
      <alignment horizontal="left" vertical="center" wrapText="1"/>
    </xf>
    <xf numFmtId="0" fontId="0" fillId="5" borderId="7" xfId="0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left" vertical="center" wrapText="1"/>
    </xf>
    <xf numFmtId="0" fontId="4" fillId="0" borderId="0" xfId="0" applyFont="1"/>
    <xf numFmtId="0" fontId="0" fillId="5" borderId="2" xfId="0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11" fontId="6" fillId="0" borderId="7" xfId="0" applyNumberFormat="1" applyFont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1" fontId="0" fillId="0" borderId="2" xfId="0" applyNumberFormat="1" applyBorder="1" applyAlignment="1">
      <alignment horizontal="center" vertical="center" wrapText="1"/>
    </xf>
    <xf numFmtId="1" fontId="0" fillId="3" borderId="12" xfId="0" applyNumberForma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9" fontId="6" fillId="0" borderId="2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9" fontId="0" fillId="3" borderId="7" xfId="0" applyNumberFormat="1" applyFill="1" applyBorder="1" applyAlignment="1">
      <alignment horizontal="center" vertical="center"/>
    </xf>
    <xf numFmtId="9" fontId="0" fillId="3" borderId="9" xfId="0" applyNumberFormat="1" applyFill="1" applyBorder="1" applyAlignment="1">
      <alignment horizontal="center" vertical="center" wrapText="1"/>
    </xf>
    <xf numFmtId="1" fontId="0" fillId="3" borderId="2" xfId="0" applyNumberFormat="1" applyFill="1" applyBorder="1" applyAlignment="1">
      <alignment horizontal="left" vertical="center" wrapText="1"/>
    </xf>
    <xf numFmtId="1" fontId="0" fillId="3" borderId="2" xfId="0" applyNumberForma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7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11" fillId="0" borderId="0" xfId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09800" cy="695325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1B4222FE-504F-8740-B5FB-B6E8E417B0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209800" cy="6953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ristianjaviercanomogollon/Library/Mobile%20Documents/com~apple~CloudDocs/Documents/0.%20Unipontificabolivariana/3.%20Contenidos%20de%20Asignaturas/8.Optimizacion%20en%20Redes/Cartas%20Descriptivas%20Ciclo%20Profesional%20(2).xlsx" TargetMode="External"/><Relationship Id="rId1" Type="http://schemas.openxmlformats.org/officeDocument/2006/relationships/externalLinkPath" Target="Cartas%20Descriptivas%20Ciclo%20Profesiona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ción Ing Ind"/>
      <sheetName val="Admón y Talento Humano"/>
      <sheetName val="Ingeniería de métodos"/>
      <sheetName val="Gestión Control Calidad"/>
      <sheetName val="Gestión Logística"/>
      <sheetName val="Gestión y Control de la calidad"/>
      <sheetName val="Lógica y Algoritmia"/>
      <sheetName val="Fundamentos de Producción"/>
      <sheetName val="Programación Orientada a Objeto"/>
      <sheetName val="Soluciones Computacionales (Opt"/>
      <sheetName val="Ciencia de Materiales"/>
      <sheetName val="Seguridad y Salud en el Trabajo"/>
      <sheetName val="Costos y Presupuestos"/>
      <sheetName val="Ingeniería Económica"/>
      <sheetName val="Gestión Financiera"/>
      <sheetName val="Gestión Tecnológica"/>
      <sheetName val="Listas"/>
      <sheetName val="Descripción del curso-Catálogo"/>
      <sheetName val="Optimización Discreta"/>
      <sheetName val="Proceso Industriales"/>
      <sheetName val="Sistemas de gestion de calidad "/>
      <sheetName val="SIG"/>
      <sheetName val="Programacion De La Producción"/>
      <sheetName val="Optimizacion De Redes"/>
      <sheetName val="Programación Lineal"/>
      <sheetName val="Diseño Experimental"/>
      <sheetName val="Simulación"/>
      <sheetName val="Modelos Estocásticos"/>
      <sheetName val="Modelos de Regresión y Series d"/>
      <sheetName val="Ciencia de Datos"/>
      <sheetName val="Probabilidad y Estadística"/>
      <sheetName val="Gestión almacenamiento"/>
      <sheetName val="Gestión Dist y Tte"/>
      <sheetName val="Definiciones"/>
      <sheetName val="Listas (1)"/>
      <sheetName val="Descripción del curso-Catálogo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">
          <cell r="F2" t="str">
            <v>Seleccione_el_campo_amplio</v>
          </cell>
          <cell r="H2" t="str">
            <v>Seleccione_el_área_del_conocimiento</v>
          </cell>
        </row>
        <row r="3">
          <cell r="F3" t="str">
            <v>Programas_y_certificaciones_genericas</v>
          </cell>
          <cell r="H3" t="str">
            <v>Agronomía_veterinaria_y_afines</v>
          </cell>
        </row>
        <row r="4">
          <cell r="F4" t="str">
            <v>Educación</v>
          </cell>
          <cell r="H4" t="str">
            <v>Bellas_artes</v>
          </cell>
        </row>
        <row r="5">
          <cell r="F5" t="str">
            <v>Artes_y_humanidades</v>
          </cell>
          <cell r="H5" t="str">
            <v>Ciencias_de_la_educación</v>
          </cell>
        </row>
        <row r="6">
          <cell r="F6" t="str">
            <v>Ciencias_sociales</v>
          </cell>
          <cell r="H6" t="str">
            <v>Ciencias_de_la_salud</v>
          </cell>
        </row>
        <row r="7">
          <cell r="F7" t="str">
            <v>Administración_de_empresas_y_derecho</v>
          </cell>
          <cell r="H7" t="str">
            <v>Ciencias_sociales_y_humanas</v>
          </cell>
        </row>
        <row r="8">
          <cell r="F8" t="str">
            <v>Ciencias_naturales_matemáticas_y_estadística</v>
          </cell>
          <cell r="H8" t="str">
            <v>Economía_administración_contaduría_y_afines</v>
          </cell>
        </row>
        <row r="9">
          <cell r="F9" t="str">
            <v>Tecnologías_de_la_Información_y_la_Comunicación_TIC</v>
          </cell>
          <cell r="H9" t="str">
            <v>Ingeniería_arquitectura_urbanismo_y_afines</v>
          </cell>
        </row>
        <row r="10">
          <cell r="F10" t="str">
            <v>Ingeniería_industria_y_construcción</v>
          </cell>
          <cell r="H10" t="str">
            <v>Matemáticas_y_ciencas_naturales</v>
          </cell>
        </row>
        <row r="11">
          <cell r="F11" t="str">
            <v>Agricultura_silvicultura_pesca_y_veterinaria</v>
          </cell>
        </row>
        <row r="12">
          <cell r="F12" t="str">
            <v>Salud_y_Bienestar</v>
          </cell>
        </row>
        <row r="13">
          <cell r="F13" t="str">
            <v>Servicios</v>
          </cell>
        </row>
      </sheetData>
      <sheetData sheetId="35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ocw.mit.edu/courses/sloan-school-of-management/15-083j-integer-programming-and-combinatorial-optimization-fall-2009/download-course-material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E4910-259F-864A-A6BB-05F0C25615A9}">
  <sheetPr>
    <outlinePr summaryBelow="0" summaryRight="0"/>
  </sheetPr>
  <dimension ref="A1:Z1000"/>
  <sheetViews>
    <sheetView tabSelected="1" topLeftCell="A28" workbookViewId="0">
      <selection activeCell="C32" sqref="C32:E34"/>
    </sheetView>
  </sheetViews>
  <sheetFormatPr baseColWidth="10" defaultColWidth="14.5" defaultRowHeight="15" customHeight="1" x14ac:dyDescent="0.15"/>
  <cols>
    <col min="1" max="1" width="36.5" customWidth="1"/>
    <col min="2" max="2" width="15.1640625" customWidth="1"/>
    <col min="3" max="3" width="16.83203125" customWidth="1"/>
    <col min="4" max="4" width="11.83203125" customWidth="1"/>
    <col min="5" max="5" width="14.1640625" customWidth="1"/>
    <col min="6" max="6" width="18.83203125" customWidth="1"/>
    <col min="7" max="7" width="13.83203125" customWidth="1"/>
    <col min="8" max="8" width="19.5" customWidth="1"/>
    <col min="9" max="9" width="15.1640625" customWidth="1"/>
    <col min="10" max="10" width="48.1640625" customWidth="1"/>
    <col min="11" max="26" width="11.5" customWidth="1"/>
  </cols>
  <sheetData>
    <row r="1" spans="1:21" ht="61.5" customHeight="1" x14ac:dyDescent="0.15">
      <c r="A1" s="1"/>
      <c r="B1" s="71" t="s">
        <v>0</v>
      </c>
      <c r="C1" s="19"/>
      <c r="D1" s="19"/>
      <c r="E1" s="19"/>
      <c r="F1" s="19"/>
      <c r="G1" s="19"/>
      <c r="H1" s="19"/>
      <c r="I1" s="19"/>
      <c r="J1" s="20"/>
    </row>
    <row r="2" spans="1:21" ht="4.5" customHeight="1" x14ac:dyDescent="0.15">
      <c r="A2" s="72"/>
      <c r="B2" s="17"/>
      <c r="C2" s="17"/>
      <c r="D2" s="17"/>
      <c r="E2" s="17"/>
      <c r="F2" s="17"/>
      <c r="G2" s="17"/>
      <c r="H2" s="17"/>
      <c r="I2" s="17"/>
      <c r="J2" s="38"/>
    </row>
    <row r="3" spans="1:21" ht="15" customHeight="1" x14ac:dyDescent="0.15">
      <c r="A3" s="73" t="s">
        <v>1</v>
      </c>
      <c r="B3" s="19"/>
      <c r="C3" s="19"/>
      <c r="D3" s="19"/>
      <c r="E3" s="19"/>
      <c r="F3" s="19"/>
      <c r="G3" s="19"/>
      <c r="H3" s="19"/>
      <c r="I3" s="19"/>
      <c r="J3" s="20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21.75" customHeight="1" x14ac:dyDescent="0.15">
      <c r="A4" s="3" t="s">
        <v>2</v>
      </c>
      <c r="B4" s="18" t="s">
        <v>3</v>
      </c>
      <c r="C4" s="19"/>
      <c r="D4" s="19"/>
      <c r="E4" s="19"/>
      <c r="F4" s="19"/>
      <c r="G4" s="19"/>
      <c r="H4" s="19"/>
      <c r="I4" s="19"/>
      <c r="J4" s="20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0.25" customHeight="1" x14ac:dyDescent="0.15">
      <c r="A5" s="3" t="s">
        <v>4</v>
      </c>
      <c r="B5" s="74" t="s">
        <v>5</v>
      </c>
      <c r="C5" s="19"/>
      <c r="D5" s="19"/>
      <c r="E5" s="19"/>
      <c r="F5" s="19"/>
      <c r="G5" s="19"/>
      <c r="H5" s="19"/>
      <c r="I5" s="19"/>
      <c r="J5" s="20"/>
    </row>
    <row r="6" spans="1:21" ht="20.25" customHeight="1" x14ac:dyDescent="0.15">
      <c r="A6" s="3" t="s">
        <v>6</v>
      </c>
      <c r="B6" s="70" t="s">
        <v>7</v>
      </c>
      <c r="C6" s="19"/>
      <c r="D6" s="19"/>
      <c r="E6" s="20"/>
      <c r="F6" s="75" t="s">
        <v>8</v>
      </c>
      <c r="G6" s="19"/>
      <c r="H6" s="19"/>
      <c r="I6" s="19"/>
      <c r="J6" s="20"/>
    </row>
    <row r="7" spans="1:21" ht="20.25" customHeight="1" x14ac:dyDescent="0.15">
      <c r="A7" s="3" t="s">
        <v>9</v>
      </c>
      <c r="B7" s="70" t="s">
        <v>10</v>
      </c>
      <c r="C7" s="19"/>
      <c r="D7" s="19"/>
      <c r="E7" s="19"/>
      <c r="F7" s="70" t="s">
        <v>11</v>
      </c>
      <c r="G7" s="19"/>
      <c r="H7" s="19"/>
      <c r="I7" s="19"/>
      <c r="J7" s="20"/>
    </row>
    <row r="8" spans="1:21" ht="12.75" customHeight="1" x14ac:dyDescent="0.15">
      <c r="A8" s="4" t="s">
        <v>12</v>
      </c>
      <c r="B8" s="70" t="s">
        <v>13</v>
      </c>
      <c r="C8" s="19"/>
      <c r="D8" s="19"/>
      <c r="E8" s="19"/>
      <c r="F8" s="19"/>
      <c r="G8" s="19"/>
      <c r="H8" s="19"/>
      <c r="I8" s="19"/>
      <c r="J8" s="20"/>
    </row>
    <row r="9" spans="1:21" ht="27" customHeight="1" x14ac:dyDescent="0.15">
      <c r="A9" s="4" t="s">
        <v>14</v>
      </c>
      <c r="B9" s="70" t="s">
        <v>15</v>
      </c>
      <c r="C9" s="19"/>
      <c r="D9" s="19"/>
      <c r="E9" s="19"/>
      <c r="F9" s="19"/>
      <c r="G9" s="19"/>
      <c r="H9" s="19"/>
      <c r="I9" s="19"/>
      <c r="J9" s="20"/>
      <c r="K9" s="5"/>
      <c r="L9" s="5"/>
      <c r="M9" s="5"/>
      <c r="N9" s="5"/>
      <c r="O9" s="5"/>
      <c r="P9" s="5"/>
      <c r="Q9" s="5"/>
      <c r="R9" s="5"/>
    </row>
    <row r="10" spans="1:21" ht="25.5" customHeight="1" x14ac:dyDescent="0.15">
      <c r="A10" s="4" t="s">
        <v>16</v>
      </c>
      <c r="B10" s="70" t="s">
        <v>17</v>
      </c>
      <c r="C10" s="19"/>
      <c r="D10" s="19"/>
      <c r="E10" s="19"/>
      <c r="F10" s="19"/>
      <c r="G10" s="19"/>
      <c r="H10" s="19"/>
      <c r="I10" s="19"/>
      <c r="J10" s="20"/>
    </row>
    <row r="11" spans="1:21" ht="25.5" customHeight="1" x14ac:dyDescent="0.15">
      <c r="A11" s="4" t="s">
        <v>18</v>
      </c>
      <c r="B11" s="70" t="s">
        <v>19</v>
      </c>
      <c r="C11" s="19"/>
      <c r="D11" s="19"/>
      <c r="E11" s="19"/>
      <c r="F11" s="19"/>
      <c r="G11" s="19"/>
      <c r="H11" s="19"/>
      <c r="I11" s="19"/>
      <c r="J11" s="20"/>
    </row>
    <row r="12" spans="1:21" ht="35.25" customHeight="1" x14ac:dyDescent="0.15">
      <c r="A12" s="64" t="s">
        <v>20</v>
      </c>
      <c r="B12" s="65" t="s">
        <v>21</v>
      </c>
      <c r="C12" s="19"/>
      <c r="D12" s="19"/>
      <c r="E12" s="19"/>
      <c r="F12" s="20"/>
      <c r="G12" s="66"/>
      <c r="H12" s="67"/>
      <c r="I12" s="28"/>
      <c r="J12" s="68"/>
    </row>
    <row r="13" spans="1:21" ht="35.25" customHeight="1" x14ac:dyDescent="0.15">
      <c r="A13" s="35"/>
      <c r="B13" s="69" t="s">
        <v>22</v>
      </c>
      <c r="C13" s="30"/>
      <c r="D13" s="30"/>
      <c r="E13" s="30"/>
      <c r="F13" s="31"/>
      <c r="G13" s="30"/>
      <c r="H13" s="29"/>
      <c r="I13" s="31"/>
      <c r="J13" s="31"/>
    </row>
    <row r="14" spans="1:21" ht="24" customHeight="1" x14ac:dyDescent="0.15">
      <c r="A14" s="54" t="s">
        <v>23</v>
      </c>
      <c r="B14" s="7" t="s">
        <v>24</v>
      </c>
      <c r="C14" s="61">
        <v>3</v>
      </c>
      <c r="D14" s="19"/>
      <c r="E14" s="19"/>
      <c r="F14" s="19"/>
      <c r="G14" s="19"/>
      <c r="H14" s="19"/>
      <c r="I14" s="19"/>
      <c r="J14" s="20"/>
    </row>
    <row r="15" spans="1:21" ht="24" customHeight="1" x14ac:dyDescent="0.15">
      <c r="A15" s="35"/>
      <c r="B15" s="8" t="s">
        <v>25</v>
      </c>
      <c r="C15" s="62">
        <v>3</v>
      </c>
      <c r="D15" s="19"/>
      <c r="E15" s="19"/>
      <c r="F15" s="19"/>
      <c r="G15" s="19"/>
      <c r="H15" s="19"/>
      <c r="I15" s="19"/>
      <c r="J15" s="20"/>
    </row>
    <row r="16" spans="1:21" ht="24.75" customHeight="1" x14ac:dyDescent="0.15">
      <c r="A16" s="54" t="s">
        <v>26</v>
      </c>
      <c r="B16" s="63" t="s">
        <v>27</v>
      </c>
      <c r="C16" s="20"/>
      <c r="D16" s="63" t="s">
        <v>28</v>
      </c>
      <c r="E16" s="19"/>
      <c r="F16" s="20"/>
      <c r="G16" s="63" t="s">
        <v>29</v>
      </c>
      <c r="H16" s="20"/>
      <c r="I16" s="50" t="s">
        <v>30</v>
      </c>
      <c r="J16" s="20"/>
      <c r="K16" s="9"/>
    </row>
    <row r="17" spans="1:11" ht="24.75" customHeight="1" x14ac:dyDescent="0.15">
      <c r="A17" s="34"/>
      <c r="B17" s="52">
        <f>2*16</f>
        <v>32</v>
      </c>
      <c r="C17" s="20"/>
      <c r="D17" s="52">
        <f>2*16</f>
        <v>32</v>
      </c>
      <c r="E17" s="19"/>
      <c r="F17" s="20"/>
      <c r="G17" s="52">
        <f>5*16</f>
        <v>80</v>
      </c>
      <c r="H17" s="20"/>
      <c r="I17" s="53"/>
      <c r="J17" s="31"/>
      <c r="K17" s="9"/>
    </row>
    <row r="18" spans="1:11" ht="30.75" customHeight="1" x14ac:dyDescent="0.15">
      <c r="A18" s="54" t="s">
        <v>31</v>
      </c>
      <c r="B18" s="55"/>
      <c r="C18" s="10" t="s">
        <v>32</v>
      </c>
      <c r="D18" s="56" t="s">
        <v>33</v>
      </c>
      <c r="E18" s="20"/>
      <c r="F18" s="57" t="s">
        <v>34</v>
      </c>
      <c r="G18" s="28"/>
      <c r="H18" s="58"/>
      <c r="I18" s="27"/>
      <c r="J18" s="28"/>
    </row>
    <row r="19" spans="1:11" ht="20.25" customHeight="1" x14ac:dyDescent="0.15">
      <c r="A19" s="34"/>
      <c r="B19" s="34"/>
      <c r="C19" s="59">
        <v>1</v>
      </c>
      <c r="D19" s="60">
        <v>0</v>
      </c>
      <c r="E19" s="28"/>
      <c r="F19" s="37"/>
      <c r="G19" s="38"/>
      <c r="H19" s="37"/>
      <c r="I19" s="17"/>
      <c r="J19" s="38"/>
    </row>
    <row r="20" spans="1:11" ht="15.75" customHeight="1" x14ac:dyDescent="0.15">
      <c r="A20" s="35"/>
      <c r="B20" s="35"/>
      <c r="C20" s="35"/>
      <c r="D20" s="29"/>
      <c r="E20" s="31"/>
      <c r="F20" s="29"/>
      <c r="G20" s="31"/>
      <c r="H20" s="29"/>
      <c r="I20" s="30"/>
      <c r="J20" s="31"/>
    </row>
    <row r="21" spans="1:11" ht="35.25" customHeight="1" x14ac:dyDescent="0.15">
      <c r="A21" s="11" t="s">
        <v>35</v>
      </c>
      <c r="B21" s="48" t="s">
        <v>36</v>
      </c>
      <c r="C21" s="19"/>
      <c r="D21" s="19"/>
      <c r="E21" s="19"/>
      <c r="F21" s="19"/>
      <c r="G21" s="19"/>
      <c r="H21" s="19"/>
      <c r="I21" s="19"/>
      <c r="J21" s="20"/>
    </row>
    <row r="22" spans="1:11" ht="17.25" customHeight="1" x14ac:dyDescent="0.15">
      <c r="A22" s="49" t="s">
        <v>37</v>
      </c>
      <c r="B22" s="50" t="s">
        <v>38</v>
      </c>
      <c r="C22" s="19"/>
      <c r="D22" s="19"/>
      <c r="E22" s="19"/>
      <c r="F22" s="19"/>
      <c r="G22" s="19"/>
      <c r="H22" s="19"/>
      <c r="I22" s="19"/>
      <c r="J22" s="20"/>
    </row>
    <row r="23" spans="1:11" ht="31.5" customHeight="1" x14ac:dyDescent="0.15">
      <c r="A23" s="34"/>
      <c r="B23" s="51" t="s">
        <v>39</v>
      </c>
      <c r="C23" s="27"/>
      <c r="D23" s="27"/>
      <c r="E23" s="27"/>
      <c r="F23" s="27"/>
      <c r="G23" s="27"/>
      <c r="H23" s="27"/>
      <c r="I23" s="27"/>
      <c r="J23" s="28"/>
    </row>
    <row r="24" spans="1:11" ht="16.5" customHeight="1" x14ac:dyDescent="0.15">
      <c r="A24" s="34"/>
      <c r="B24" s="37"/>
      <c r="C24" s="17"/>
      <c r="D24" s="17"/>
      <c r="E24" s="17"/>
      <c r="F24" s="17"/>
      <c r="G24" s="17"/>
      <c r="H24" s="17"/>
      <c r="I24" s="17"/>
      <c r="J24" s="38"/>
    </row>
    <row r="25" spans="1:11" ht="150.75" customHeight="1" x14ac:dyDescent="0.15">
      <c r="A25" s="35"/>
      <c r="B25" s="29"/>
      <c r="C25" s="30"/>
      <c r="D25" s="30"/>
      <c r="E25" s="30"/>
      <c r="F25" s="30"/>
      <c r="G25" s="30"/>
      <c r="H25" s="30"/>
      <c r="I25" s="30"/>
      <c r="J25" s="31"/>
    </row>
    <row r="26" spans="1:11" ht="15" customHeight="1" x14ac:dyDescent="0.15">
      <c r="A26" s="21" t="s">
        <v>40</v>
      </c>
      <c r="B26" s="19"/>
      <c r="C26" s="19"/>
      <c r="D26" s="19"/>
      <c r="E26" s="19"/>
      <c r="F26" s="19"/>
      <c r="G26" s="19"/>
      <c r="H26" s="19"/>
      <c r="I26" s="19"/>
      <c r="J26" s="20"/>
    </row>
    <row r="27" spans="1:11" ht="69.75" customHeight="1" x14ac:dyDescent="0.15">
      <c r="A27" s="12" t="s">
        <v>41</v>
      </c>
      <c r="B27" s="18" t="s">
        <v>42</v>
      </c>
      <c r="C27" s="19"/>
      <c r="D27" s="19"/>
      <c r="E27" s="19"/>
      <c r="F27" s="19"/>
      <c r="G27" s="19"/>
      <c r="H27" s="19"/>
      <c r="I27" s="19"/>
      <c r="J27" s="20"/>
    </row>
    <row r="28" spans="1:11" ht="69.75" customHeight="1" x14ac:dyDescent="0.15">
      <c r="A28" s="4" t="s">
        <v>43</v>
      </c>
      <c r="B28" s="18" t="s">
        <v>44</v>
      </c>
      <c r="C28" s="19"/>
      <c r="D28" s="19"/>
      <c r="E28" s="19"/>
      <c r="F28" s="19"/>
      <c r="G28" s="19"/>
      <c r="H28" s="19"/>
      <c r="I28" s="19"/>
      <c r="J28" s="20"/>
    </row>
    <row r="29" spans="1:11" ht="52.5" customHeight="1" x14ac:dyDescent="0.15">
      <c r="A29" s="4" t="s">
        <v>45</v>
      </c>
      <c r="B29" s="44" t="s">
        <v>46</v>
      </c>
      <c r="C29" s="19"/>
      <c r="D29" s="19"/>
      <c r="E29" s="19"/>
      <c r="F29" s="19"/>
      <c r="G29" s="19"/>
      <c r="H29" s="19"/>
      <c r="I29" s="19"/>
      <c r="J29" s="20"/>
    </row>
    <row r="30" spans="1:11" ht="14.25" customHeight="1" x14ac:dyDescent="0.15">
      <c r="A30" s="45" t="s">
        <v>47</v>
      </c>
      <c r="B30" s="46" t="s">
        <v>48</v>
      </c>
      <c r="C30" s="47" t="s">
        <v>49</v>
      </c>
      <c r="D30" s="27"/>
      <c r="E30" s="27"/>
      <c r="F30" s="45" t="s">
        <v>50</v>
      </c>
      <c r="G30" s="47" t="s">
        <v>51</v>
      </c>
      <c r="H30" s="27"/>
      <c r="I30" s="27"/>
      <c r="J30" s="28"/>
    </row>
    <row r="31" spans="1:11" ht="34.5" customHeight="1" x14ac:dyDescent="0.15">
      <c r="A31" s="35"/>
      <c r="B31" s="35"/>
      <c r="C31" s="29"/>
      <c r="D31" s="30"/>
      <c r="E31" s="30"/>
      <c r="F31" s="35"/>
      <c r="G31" s="29"/>
      <c r="H31" s="30"/>
      <c r="I31" s="30"/>
      <c r="J31" s="31"/>
    </row>
    <row r="32" spans="1:11" ht="12.75" customHeight="1" x14ac:dyDescent="0.15">
      <c r="A32" s="40" t="s">
        <v>52</v>
      </c>
      <c r="B32" s="40" t="s">
        <v>53</v>
      </c>
      <c r="C32" s="41" t="s">
        <v>54</v>
      </c>
      <c r="D32" s="27"/>
      <c r="E32" s="28"/>
      <c r="F32" s="33" t="s">
        <v>55</v>
      </c>
      <c r="G32" s="42" t="s">
        <v>56</v>
      </c>
      <c r="H32" s="27"/>
      <c r="I32" s="27"/>
      <c r="J32" s="28"/>
    </row>
    <row r="33" spans="1:10" ht="12.75" customHeight="1" x14ac:dyDescent="0.15">
      <c r="A33" s="34"/>
      <c r="B33" s="34"/>
      <c r="C33" s="37"/>
      <c r="D33" s="17"/>
      <c r="E33" s="38"/>
      <c r="F33" s="34"/>
      <c r="G33" s="37"/>
      <c r="H33" s="17"/>
      <c r="I33" s="17"/>
      <c r="J33" s="38"/>
    </row>
    <row r="34" spans="1:10" ht="27" customHeight="1" x14ac:dyDescent="0.15">
      <c r="A34" s="34"/>
      <c r="B34" s="34"/>
      <c r="C34" s="29"/>
      <c r="D34" s="30"/>
      <c r="E34" s="31"/>
      <c r="F34" s="35"/>
      <c r="G34" s="37"/>
      <c r="H34" s="17"/>
      <c r="I34" s="17"/>
      <c r="J34" s="38"/>
    </row>
    <row r="35" spans="1:10" ht="12.75" customHeight="1" x14ac:dyDescent="0.15">
      <c r="A35" s="34"/>
      <c r="B35" s="34"/>
      <c r="C35" s="36" t="s">
        <v>57</v>
      </c>
      <c r="D35" s="27"/>
      <c r="E35" s="28"/>
      <c r="F35" s="33" t="s">
        <v>58</v>
      </c>
      <c r="G35" s="37"/>
      <c r="H35" s="17"/>
      <c r="I35" s="17"/>
      <c r="J35" s="38"/>
    </row>
    <row r="36" spans="1:10" ht="12.75" customHeight="1" x14ac:dyDescent="0.15">
      <c r="A36" s="34"/>
      <c r="B36" s="34"/>
      <c r="C36" s="37"/>
      <c r="D36" s="17"/>
      <c r="E36" s="38"/>
      <c r="F36" s="34"/>
      <c r="G36" s="37"/>
      <c r="H36" s="17"/>
      <c r="I36" s="17"/>
      <c r="J36" s="38"/>
    </row>
    <row r="37" spans="1:10" ht="24" customHeight="1" x14ac:dyDescent="0.15">
      <c r="A37" s="34"/>
      <c r="B37" s="34"/>
      <c r="C37" s="29"/>
      <c r="D37" s="30"/>
      <c r="E37" s="31"/>
      <c r="F37" s="35"/>
      <c r="G37" s="37"/>
      <c r="H37" s="17"/>
      <c r="I37" s="17"/>
      <c r="J37" s="38"/>
    </row>
    <row r="38" spans="1:10" ht="12.75" customHeight="1" x14ac:dyDescent="0.15">
      <c r="A38" s="34"/>
      <c r="B38" s="34"/>
      <c r="C38" s="36" t="s">
        <v>59</v>
      </c>
      <c r="D38" s="27"/>
      <c r="E38" s="28"/>
      <c r="F38" s="33" t="s">
        <v>58</v>
      </c>
      <c r="G38" s="37"/>
      <c r="H38" s="17"/>
      <c r="I38" s="17"/>
      <c r="J38" s="38"/>
    </row>
    <row r="39" spans="1:10" ht="12.75" customHeight="1" x14ac:dyDescent="0.15">
      <c r="A39" s="34"/>
      <c r="B39" s="34"/>
      <c r="C39" s="37"/>
      <c r="D39" s="17"/>
      <c r="E39" s="38"/>
      <c r="F39" s="34"/>
      <c r="G39" s="37"/>
      <c r="H39" s="17"/>
      <c r="I39" s="17"/>
      <c r="J39" s="38"/>
    </row>
    <row r="40" spans="1:10" ht="34.5" customHeight="1" x14ac:dyDescent="0.15">
      <c r="A40" s="34"/>
      <c r="B40" s="34"/>
      <c r="C40" s="29"/>
      <c r="D40" s="30"/>
      <c r="E40" s="31"/>
      <c r="F40" s="35"/>
      <c r="G40" s="37"/>
      <c r="H40" s="17"/>
      <c r="I40" s="17"/>
      <c r="J40" s="38"/>
    </row>
    <row r="41" spans="1:10" ht="12.75" customHeight="1" x14ac:dyDescent="0.15">
      <c r="A41" s="34"/>
      <c r="B41" s="34"/>
      <c r="C41" s="39" t="s">
        <v>60</v>
      </c>
      <c r="D41" s="27"/>
      <c r="E41" s="28"/>
      <c r="F41" s="33" t="s">
        <v>58</v>
      </c>
      <c r="G41" s="37"/>
      <c r="H41" s="17"/>
      <c r="I41" s="17"/>
      <c r="J41" s="38"/>
    </row>
    <row r="42" spans="1:10" ht="12.75" customHeight="1" x14ac:dyDescent="0.15">
      <c r="A42" s="34"/>
      <c r="B42" s="34"/>
      <c r="C42" s="37"/>
      <c r="D42" s="17"/>
      <c r="E42" s="38"/>
      <c r="F42" s="34"/>
      <c r="G42" s="37"/>
      <c r="H42" s="17"/>
      <c r="I42" s="17"/>
      <c r="J42" s="38"/>
    </row>
    <row r="43" spans="1:10" ht="47.25" customHeight="1" x14ac:dyDescent="0.15">
      <c r="A43" s="34"/>
      <c r="B43" s="34"/>
      <c r="C43" s="29"/>
      <c r="D43" s="30"/>
      <c r="E43" s="31"/>
      <c r="F43" s="35"/>
      <c r="G43" s="37"/>
      <c r="H43" s="17"/>
      <c r="I43" s="17"/>
      <c r="J43" s="38"/>
    </row>
    <row r="44" spans="1:10" ht="12.75" customHeight="1" x14ac:dyDescent="0.15">
      <c r="A44" s="34"/>
      <c r="B44" s="34"/>
      <c r="C44" s="36" t="s">
        <v>61</v>
      </c>
      <c r="D44" s="27"/>
      <c r="E44" s="28"/>
      <c r="F44" s="33" t="s">
        <v>58</v>
      </c>
      <c r="G44" s="37"/>
      <c r="H44" s="17"/>
      <c r="I44" s="17"/>
      <c r="J44" s="38"/>
    </row>
    <row r="45" spans="1:10" ht="12.75" customHeight="1" x14ac:dyDescent="0.15">
      <c r="A45" s="34"/>
      <c r="B45" s="34"/>
      <c r="C45" s="37"/>
      <c r="D45" s="17"/>
      <c r="E45" s="38"/>
      <c r="F45" s="34"/>
      <c r="G45" s="37"/>
      <c r="H45" s="17"/>
      <c r="I45" s="17"/>
      <c r="J45" s="38"/>
    </row>
    <row r="46" spans="1:10" ht="57" customHeight="1" x14ac:dyDescent="0.15">
      <c r="A46" s="34"/>
      <c r="B46" s="34"/>
      <c r="C46" s="29"/>
      <c r="D46" s="30"/>
      <c r="E46" s="31"/>
      <c r="F46" s="35"/>
      <c r="G46" s="37"/>
      <c r="H46" s="17"/>
      <c r="I46" s="17"/>
      <c r="J46" s="38"/>
    </row>
    <row r="47" spans="1:10" ht="12.75" customHeight="1" x14ac:dyDescent="0.15">
      <c r="A47" s="34"/>
      <c r="B47" s="34"/>
      <c r="C47" s="39" t="s">
        <v>62</v>
      </c>
      <c r="D47" s="27"/>
      <c r="E47" s="28"/>
      <c r="F47" s="33" t="s">
        <v>58</v>
      </c>
      <c r="G47" s="37"/>
      <c r="H47" s="17"/>
      <c r="I47" s="17"/>
      <c r="J47" s="38"/>
    </row>
    <row r="48" spans="1:10" ht="12.75" customHeight="1" x14ac:dyDescent="0.15">
      <c r="A48" s="34"/>
      <c r="B48" s="34"/>
      <c r="C48" s="37"/>
      <c r="D48" s="17"/>
      <c r="E48" s="38"/>
      <c r="F48" s="34"/>
      <c r="G48" s="37"/>
      <c r="H48" s="17"/>
      <c r="I48" s="17"/>
      <c r="J48" s="38"/>
    </row>
    <row r="49" spans="1:26" ht="154.5" customHeight="1" x14ac:dyDescent="0.15">
      <c r="A49" s="34"/>
      <c r="B49" s="34"/>
      <c r="C49" s="29"/>
      <c r="D49" s="30"/>
      <c r="E49" s="31"/>
      <c r="F49" s="35"/>
      <c r="G49" s="37"/>
      <c r="H49" s="43"/>
      <c r="I49" s="43"/>
      <c r="J49" s="38"/>
    </row>
    <row r="50" spans="1:26" ht="15" customHeight="1" x14ac:dyDescent="0.15">
      <c r="A50" s="21" t="s">
        <v>63</v>
      </c>
      <c r="B50" s="19"/>
      <c r="C50" s="19"/>
      <c r="D50" s="19"/>
      <c r="E50" s="19"/>
      <c r="F50" s="19"/>
      <c r="G50" s="19"/>
      <c r="H50" s="19"/>
      <c r="I50" s="19"/>
      <c r="J50" s="20"/>
    </row>
    <row r="51" spans="1:26" ht="108.75" customHeight="1" x14ac:dyDescent="0.15">
      <c r="A51" s="13" t="s">
        <v>64</v>
      </c>
      <c r="B51" s="24" t="s">
        <v>65</v>
      </c>
      <c r="C51" s="19"/>
      <c r="D51" s="19"/>
      <c r="E51" s="19"/>
      <c r="F51" s="19"/>
      <c r="G51" s="19"/>
      <c r="H51" s="19"/>
      <c r="I51" s="19"/>
      <c r="J51" s="20"/>
    </row>
    <row r="52" spans="1:26" ht="15" customHeight="1" x14ac:dyDescent="0.15">
      <c r="A52" s="25" t="s">
        <v>66</v>
      </c>
      <c r="B52" s="19"/>
      <c r="C52" s="19"/>
      <c r="D52" s="19"/>
      <c r="E52" s="19"/>
      <c r="F52" s="19"/>
      <c r="G52" s="19"/>
      <c r="H52" s="19"/>
      <c r="I52" s="19"/>
      <c r="J52" s="19"/>
    </row>
    <row r="53" spans="1:26" ht="12" customHeight="1" x14ac:dyDescent="0.15">
      <c r="A53" s="26" t="s">
        <v>67</v>
      </c>
      <c r="B53" s="27"/>
      <c r="C53" s="27"/>
      <c r="D53" s="28"/>
      <c r="E53" s="32" t="s">
        <v>68</v>
      </c>
      <c r="F53" s="28"/>
      <c r="G53" s="32" t="s">
        <v>69</v>
      </c>
      <c r="H53" s="27"/>
      <c r="I53" s="27"/>
      <c r="J53" s="28"/>
    </row>
    <row r="54" spans="1:26" ht="12" customHeight="1" x14ac:dyDescent="0.15">
      <c r="A54" s="29"/>
      <c r="B54" s="30"/>
      <c r="C54" s="30"/>
      <c r="D54" s="31"/>
      <c r="E54" s="29"/>
      <c r="F54" s="31"/>
      <c r="G54" s="29"/>
      <c r="H54" s="30"/>
      <c r="I54" s="30"/>
      <c r="J54" s="31"/>
    </row>
    <row r="55" spans="1:26" ht="28.5" customHeight="1" x14ac:dyDescent="0.15">
      <c r="A55" s="18" t="str">
        <f>C32</f>
        <v>1. Reconozco los conceptos asociados a la Teoria De Grafos y su aplicación en problemas del contexto</v>
      </c>
      <c r="B55" s="19"/>
      <c r="C55" s="19"/>
      <c r="D55" s="20"/>
      <c r="E55" s="23">
        <v>0.1</v>
      </c>
      <c r="F55" s="20"/>
      <c r="G55" s="23" t="s">
        <v>70</v>
      </c>
      <c r="H55" s="19"/>
      <c r="I55" s="19"/>
      <c r="J55" s="20"/>
      <c r="K55" s="14"/>
      <c r="L55" s="14"/>
      <c r="M55" s="14"/>
      <c r="N55" s="14"/>
      <c r="O55" s="14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29.25" customHeight="1" x14ac:dyDescent="0.15">
      <c r="A56" s="18" t="str">
        <f>C35</f>
        <v>2.Construyo modelos matematicos basados en el Problema de transporte, asignacion.</v>
      </c>
      <c r="B56" s="19"/>
      <c r="C56" s="19"/>
      <c r="D56" s="20"/>
      <c r="E56" s="23">
        <v>0.2</v>
      </c>
      <c r="F56" s="20"/>
      <c r="G56" s="23" t="s">
        <v>71</v>
      </c>
      <c r="H56" s="19"/>
      <c r="I56" s="19"/>
      <c r="J56" s="20"/>
      <c r="K56" s="14"/>
      <c r="L56" s="14"/>
      <c r="M56" s="14"/>
      <c r="N56" s="14"/>
      <c r="O56" s="1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30" customHeight="1" x14ac:dyDescent="0.15">
      <c r="A57" s="18" t="str">
        <f>C38</f>
        <v>3.Comprendo los metodos de solucion para el problema de transporte y de asignacion</v>
      </c>
      <c r="B57" s="19"/>
      <c r="C57" s="19"/>
      <c r="D57" s="20"/>
      <c r="E57" s="23">
        <v>0.2</v>
      </c>
      <c r="F57" s="20"/>
      <c r="G57" s="23" t="s">
        <v>72</v>
      </c>
      <c r="H57" s="19"/>
      <c r="I57" s="19"/>
      <c r="J57" s="20"/>
      <c r="K57" s="14"/>
      <c r="L57" s="14"/>
      <c r="M57" s="14"/>
      <c r="N57" s="14"/>
      <c r="O57" s="1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45" customHeight="1" x14ac:dyDescent="0.15">
      <c r="A58" s="18" t="str">
        <f>C41</f>
        <v>4.Conozco los problemas de arbol de expansion minima, flujo maximo y sus algoritmos de solucion</v>
      </c>
      <c r="B58" s="19"/>
      <c r="C58" s="19"/>
      <c r="D58" s="20"/>
      <c r="E58" s="23">
        <v>0.2</v>
      </c>
      <c r="F58" s="20"/>
      <c r="G58" s="23" t="s">
        <v>73</v>
      </c>
      <c r="H58" s="19"/>
      <c r="I58" s="19"/>
      <c r="J58" s="20"/>
      <c r="K58" s="14"/>
      <c r="L58" s="14"/>
      <c r="M58" s="14"/>
      <c r="N58" s="14"/>
      <c r="O58" s="1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45.75" customHeight="1" x14ac:dyDescent="0.15">
      <c r="A59" s="18" t="str">
        <f>C44</f>
        <v>5. Conozco el  problemas de ruta mas corta y sus algoritmos de solucion</v>
      </c>
      <c r="B59" s="19"/>
      <c r="C59" s="19"/>
      <c r="D59" s="20"/>
      <c r="E59" s="23">
        <v>0.1</v>
      </c>
      <c r="F59" s="20"/>
      <c r="G59" s="23" t="s">
        <v>73</v>
      </c>
      <c r="H59" s="19"/>
      <c r="I59" s="19"/>
      <c r="J59" s="20"/>
      <c r="K59" s="14"/>
      <c r="L59" s="14"/>
      <c r="M59" s="14"/>
      <c r="N59" s="14"/>
      <c r="O59" s="14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39" customHeight="1" x14ac:dyDescent="0.15">
      <c r="A60" s="18" t="str">
        <f>C47</f>
        <v>6. Conozco los problemas de ruta critica, PERT, PERT- COSt y su aplicación a la gestion de proyectos</v>
      </c>
      <c r="B60" s="19"/>
      <c r="C60" s="19"/>
      <c r="D60" s="20"/>
      <c r="E60" s="23">
        <v>0.2</v>
      </c>
      <c r="F60" s="20"/>
      <c r="G60" s="23" t="s">
        <v>74</v>
      </c>
      <c r="H60" s="19"/>
      <c r="I60" s="19"/>
      <c r="J60" s="20"/>
      <c r="K60" s="14"/>
      <c r="L60" s="14"/>
      <c r="M60" s="14"/>
      <c r="N60" s="14"/>
      <c r="O60" s="14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 x14ac:dyDescent="0.15">
      <c r="A61" s="21" t="s">
        <v>75</v>
      </c>
      <c r="B61" s="19"/>
      <c r="C61" s="19"/>
      <c r="D61" s="19"/>
      <c r="E61" s="19"/>
      <c r="F61" s="19"/>
      <c r="G61" s="19"/>
      <c r="H61" s="19"/>
      <c r="I61" s="19"/>
      <c r="J61" s="20"/>
    </row>
    <row r="62" spans="1:26" ht="138.75" customHeight="1" x14ac:dyDescent="0.15">
      <c r="A62" s="3" t="s">
        <v>76</v>
      </c>
      <c r="B62" s="18" t="s">
        <v>77</v>
      </c>
      <c r="C62" s="19"/>
      <c r="D62" s="19"/>
      <c r="E62" s="19"/>
      <c r="F62" s="19"/>
      <c r="G62" s="19"/>
      <c r="H62" s="19"/>
      <c r="I62" s="19"/>
      <c r="J62" s="20"/>
    </row>
    <row r="63" spans="1:26" ht="33" customHeight="1" x14ac:dyDescent="0.15">
      <c r="A63" s="6" t="s">
        <v>78</v>
      </c>
      <c r="B63" s="18" t="s">
        <v>79</v>
      </c>
      <c r="C63" s="19"/>
      <c r="D63" s="19"/>
      <c r="E63" s="19"/>
      <c r="F63" s="19"/>
      <c r="G63" s="19"/>
      <c r="H63" s="19"/>
      <c r="I63" s="19"/>
      <c r="J63" s="20"/>
    </row>
    <row r="64" spans="1:26" ht="45.75" customHeight="1" x14ac:dyDescent="0.15">
      <c r="A64" s="6" t="s">
        <v>80</v>
      </c>
      <c r="B64" s="76" t="s">
        <v>81</v>
      </c>
      <c r="C64" s="17"/>
      <c r="D64" s="17"/>
      <c r="E64" s="17"/>
      <c r="F64" s="17"/>
      <c r="G64" s="17"/>
      <c r="H64" s="17"/>
      <c r="I64" s="17"/>
      <c r="J64" s="17"/>
    </row>
    <row r="65" spans="1:10" ht="57.75" customHeight="1" x14ac:dyDescent="0.15">
      <c r="A65" s="6" t="s">
        <v>82</v>
      </c>
      <c r="B65" s="18" t="s">
        <v>83</v>
      </c>
      <c r="C65" s="19"/>
      <c r="D65" s="19"/>
      <c r="E65" s="19"/>
      <c r="F65" s="19"/>
      <c r="G65" s="19"/>
      <c r="H65" s="19"/>
      <c r="I65" s="19"/>
      <c r="J65" s="20"/>
    </row>
    <row r="66" spans="1:10" ht="23.25" customHeight="1" x14ac:dyDescent="0.15">
      <c r="A66" s="3" t="s">
        <v>84</v>
      </c>
      <c r="B66" s="18" t="s">
        <v>85</v>
      </c>
      <c r="C66" s="19"/>
      <c r="D66" s="19"/>
      <c r="E66" s="19"/>
      <c r="F66" s="19"/>
      <c r="G66" s="19"/>
      <c r="H66" s="19"/>
      <c r="I66" s="19"/>
      <c r="J66" s="20"/>
    </row>
    <row r="67" spans="1:10" ht="14.25" customHeight="1" x14ac:dyDescent="0.15">
      <c r="A67" s="21" t="s">
        <v>86</v>
      </c>
      <c r="B67" s="19"/>
      <c r="C67" s="19"/>
      <c r="D67" s="19"/>
      <c r="E67" s="19"/>
      <c r="F67" s="19"/>
      <c r="G67" s="19"/>
      <c r="H67" s="19"/>
      <c r="I67" s="19"/>
      <c r="J67" s="20"/>
    </row>
    <row r="68" spans="1:10" ht="41.25" customHeight="1" x14ac:dyDescent="0.15">
      <c r="A68" s="4" t="s">
        <v>87</v>
      </c>
      <c r="B68" s="22" t="s">
        <v>88</v>
      </c>
      <c r="C68" s="19"/>
      <c r="D68" s="19"/>
      <c r="E68" s="19"/>
      <c r="F68" s="19"/>
      <c r="G68" s="19"/>
      <c r="H68" s="19"/>
      <c r="I68" s="19"/>
      <c r="J68" s="20"/>
    </row>
    <row r="69" spans="1:10" ht="81.75" customHeight="1" x14ac:dyDescent="0.15">
      <c r="A69" s="4" t="s">
        <v>89</v>
      </c>
      <c r="B69" s="18" t="s">
        <v>90</v>
      </c>
      <c r="C69" s="19"/>
      <c r="D69" s="19"/>
      <c r="E69" s="19"/>
      <c r="F69" s="19"/>
      <c r="G69" s="19"/>
      <c r="H69" s="19"/>
      <c r="I69" s="19"/>
      <c r="J69" s="20"/>
    </row>
    <row r="70" spans="1:10" ht="12.75" customHeight="1" x14ac:dyDescent="0.15">
      <c r="A70" s="16"/>
      <c r="B70" s="16"/>
    </row>
    <row r="71" spans="1:10" ht="12.75" customHeight="1" x14ac:dyDescent="0.15">
      <c r="A71" s="16"/>
      <c r="B71" s="16"/>
    </row>
    <row r="72" spans="1:10" ht="12.75" customHeight="1" x14ac:dyDescent="0.15">
      <c r="A72" s="16"/>
      <c r="B72" s="16"/>
    </row>
    <row r="73" spans="1:10" ht="12.75" customHeight="1" x14ac:dyDescent="0.15">
      <c r="A73" s="16"/>
      <c r="B73" s="16"/>
    </row>
    <row r="74" spans="1:10" ht="12.75" customHeight="1" x14ac:dyDescent="0.15">
      <c r="A74" s="16"/>
      <c r="B74" s="16"/>
    </row>
    <row r="75" spans="1:10" ht="12.75" customHeight="1" x14ac:dyDescent="0.15">
      <c r="A75" s="16"/>
      <c r="B75" s="16"/>
    </row>
    <row r="76" spans="1:10" ht="12.75" customHeight="1" x14ac:dyDescent="0.15">
      <c r="A76" s="16"/>
      <c r="B76" s="16"/>
    </row>
    <row r="77" spans="1:10" ht="12.75" customHeight="1" x14ac:dyDescent="0.15">
      <c r="A77" s="16"/>
      <c r="B77" s="16"/>
    </row>
    <row r="78" spans="1:10" ht="12.75" customHeight="1" x14ac:dyDescent="0.15">
      <c r="A78" s="16"/>
      <c r="B78" s="16"/>
    </row>
    <row r="79" spans="1:10" ht="12.75" customHeight="1" x14ac:dyDescent="0.15">
      <c r="A79" s="16"/>
      <c r="B79" s="16"/>
    </row>
    <row r="80" spans="1:10" ht="12.75" customHeight="1" x14ac:dyDescent="0.15">
      <c r="A80" s="16"/>
      <c r="B80" s="16"/>
    </row>
    <row r="81" spans="1:2" ht="12.75" customHeight="1" x14ac:dyDescent="0.15">
      <c r="A81" s="16"/>
      <c r="B81" s="16"/>
    </row>
    <row r="82" spans="1:2" ht="12.75" customHeight="1" x14ac:dyDescent="0.15">
      <c r="A82" s="16"/>
      <c r="B82" s="16"/>
    </row>
    <row r="83" spans="1:2" ht="12.75" customHeight="1" x14ac:dyDescent="0.15">
      <c r="A83" s="16"/>
      <c r="B83" s="16"/>
    </row>
    <row r="84" spans="1:2" ht="12.75" customHeight="1" x14ac:dyDescent="0.15">
      <c r="A84" s="16"/>
      <c r="B84" s="16"/>
    </row>
    <row r="85" spans="1:2" ht="12.75" customHeight="1" x14ac:dyDescent="0.15">
      <c r="A85" s="16"/>
      <c r="B85" s="16"/>
    </row>
    <row r="86" spans="1:2" ht="12.75" customHeight="1" x14ac:dyDescent="0.15">
      <c r="A86" s="16"/>
      <c r="B86" s="16"/>
    </row>
    <row r="87" spans="1:2" ht="12.75" customHeight="1" x14ac:dyDescent="0.15">
      <c r="A87" s="16"/>
      <c r="B87" s="16"/>
    </row>
    <row r="88" spans="1:2" ht="12.75" customHeight="1" x14ac:dyDescent="0.15">
      <c r="A88" s="16"/>
      <c r="B88" s="16"/>
    </row>
    <row r="89" spans="1:2" ht="12.75" customHeight="1" x14ac:dyDescent="0.15">
      <c r="A89" s="16"/>
      <c r="B89" s="16"/>
    </row>
    <row r="90" spans="1:2" ht="12.75" customHeight="1" x14ac:dyDescent="0.15">
      <c r="A90" s="16"/>
      <c r="B90" s="16"/>
    </row>
    <row r="91" spans="1:2" ht="12.75" customHeight="1" x14ac:dyDescent="0.15">
      <c r="A91" s="16"/>
      <c r="B91" s="16"/>
    </row>
    <row r="92" spans="1:2" ht="12.75" customHeight="1" x14ac:dyDescent="0.15">
      <c r="A92" s="16"/>
      <c r="B92" s="16"/>
    </row>
    <row r="93" spans="1:2" ht="12.75" customHeight="1" x14ac:dyDescent="0.15">
      <c r="A93" s="16"/>
      <c r="B93" s="16"/>
    </row>
    <row r="94" spans="1:2" ht="12.75" customHeight="1" x14ac:dyDescent="0.15">
      <c r="A94" s="16"/>
      <c r="B94" s="16"/>
    </row>
    <row r="95" spans="1:2" ht="12.75" customHeight="1" x14ac:dyDescent="0.15">
      <c r="A95" s="16"/>
      <c r="B95" s="16"/>
    </row>
    <row r="96" spans="1:2" ht="12.75" customHeight="1" x14ac:dyDescent="0.15">
      <c r="A96" s="16"/>
      <c r="B96" s="16"/>
    </row>
    <row r="97" spans="1:2" ht="12.75" customHeight="1" x14ac:dyDescent="0.15">
      <c r="A97" s="16"/>
      <c r="B97" s="16"/>
    </row>
    <row r="98" spans="1:2" ht="12.75" customHeight="1" x14ac:dyDescent="0.15">
      <c r="A98" s="16"/>
      <c r="B98" s="16"/>
    </row>
    <row r="99" spans="1:2" ht="12.75" customHeight="1" x14ac:dyDescent="0.15">
      <c r="A99" s="16"/>
      <c r="B99" s="16"/>
    </row>
    <row r="100" spans="1:2" ht="12.75" customHeight="1" x14ac:dyDescent="0.15">
      <c r="A100" s="16"/>
      <c r="B100" s="16"/>
    </row>
    <row r="101" spans="1:2" ht="12.75" customHeight="1" x14ac:dyDescent="0.15">
      <c r="A101" s="16"/>
      <c r="B101" s="16"/>
    </row>
    <row r="102" spans="1:2" ht="12.75" customHeight="1" x14ac:dyDescent="0.15">
      <c r="A102" s="16"/>
      <c r="B102" s="16"/>
    </row>
    <row r="103" spans="1:2" ht="12.75" customHeight="1" x14ac:dyDescent="0.15">
      <c r="A103" s="16"/>
      <c r="B103" s="16"/>
    </row>
    <row r="104" spans="1:2" ht="12.75" customHeight="1" x14ac:dyDescent="0.15">
      <c r="A104" s="16"/>
      <c r="B104" s="16"/>
    </row>
    <row r="105" spans="1:2" ht="12.75" customHeight="1" x14ac:dyDescent="0.15">
      <c r="A105" s="16"/>
      <c r="B105" s="16"/>
    </row>
    <row r="106" spans="1:2" ht="12.75" customHeight="1" x14ac:dyDescent="0.15">
      <c r="A106" s="16"/>
      <c r="B106" s="16"/>
    </row>
    <row r="107" spans="1:2" ht="12.75" customHeight="1" x14ac:dyDescent="0.15">
      <c r="A107" s="16"/>
      <c r="B107" s="16"/>
    </row>
    <row r="108" spans="1:2" ht="12.75" customHeight="1" x14ac:dyDescent="0.15">
      <c r="A108" s="16"/>
      <c r="B108" s="16"/>
    </row>
    <row r="109" spans="1:2" ht="12.75" customHeight="1" x14ac:dyDescent="0.15">
      <c r="A109" s="16"/>
      <c r="B109" s="16"/>
    </row>
    <row r="110" spans="1:2" ht="12.75" customHeight="1" x14ac:dyDescent="0.15">
      <c r="A110" s="16"/>
      <c r="B110" s="16"/>
    </row>
    <row r="111" spans="1:2" ht="12.75" customHeight="1" x14ac:dyDescent="0.15">
      <c r="A111" s="16"/>
      <c r="B111" s="16"/>
    </row>
    <row r="112" spans="1:2" ht="12.75" customHeight="1" x14ac:dyDescent="0.15">
      <c r="A112" s="16"/>
      <c r="B112" s="16"/>
    </row>
    <row r="113" spans="1:2" ht="12.75" customHeight="1" x14ac:dyDescent="0.15">
      <c r="A113" s="16"/>
      <c r="B113" s="16"/>
    </row>
    <row r="114" spans="1:2" ht="12.75" customHeight="1" x14ac:dyDescent="0.15">
      <c r="A114" s="16"/>
      <c r="B114" s="16"/>
    </row>
    <row r="115" spans="1:2" ht="12.75" customHeight="1" x14ac:dyDescent="0.15">
      <c r="A115" s="16"/>
      <c r="B115" s="16"/>
    </row>
    <row r="116" spans="1:2" ht="12.75" customHeight="1" x14ac:dyDescent="0.15">
      <c r="A116" s="16"/>
      <c r="B116" s="16"/>
    </row>
    <row r="117" spans="1:2" ht="12.75" customHeight="1" x14ac:dyDescent="0.15">
      <c r="A117" s="16"/>
      <c r="B117" s="16"/>
    </row>
    <row r="118" spans="1:2" ht="12.75" customHeight="1" x14ac:dyDescent="0.15">
      <c r="A118" s="16"/>
      <c r="B118" s="16"/>
    </row>
    <row r="119" spans="1:2" ht="12.75" customHeight="1" x14ac:dyDescent="0.15">
      <c r="A119" s="16"/>
      <c r="B119" s="16"/>
    </row>
    <row r="120" spans="1:2" ht="12.75" customHeight="1" x14ac:dyDescent="0.15">
      <c r="A120" s="16"/>
      <c r="B120" s="16"/>
    </row>
    <row r="121" spans="1:2" ht="12.75" customHeight="1" x14ac:dyDescent="0.15">
      <c r="A121" s="16"/>
      <c r="B121" s="16"/>
    </row>
    <row r="122" spans="1:2" ht="12.75" customHeight="1" x14ac:dyDescent="0.15">
      <c r="A122" s="16"/>
      <c r="B122" s="16"/>
    </row>
    <row r="123" spans="1:2" ht="12.75" customHeight="1" x14ac:dyDescent="0.15">
      <c r="A123" s="16"/>
      <c r="B123" s="16"/>
    </row>
    <row r="124" spans="1:2" ht="12.75" customHeight="1" x14ac:dyDescent="0.15">
      <c r="A124" s="16"/>
      <c r="B124" s="16"/>
    </row>
    <row r="125" spans="1:2" ht="12.75" customHeight="1" x14ac:dyDescent="0.15">
      <c r="A125" s="16"/>
      <c r="B125" s="16"/>
    </row>
    <row r="126" spans="1:2" ht="12.75" customHeight="1" x14ac:dyDescent="0.15">
      <c r="A126" s="16"/>
      <c r="B126" s="16"/>
    </row>
    <row r="127" spans="1:2" ht="12.75" customHeight="1" x14ac:dyDescent="0.15">
      <c r="A127" s="16"/>
      <c r="B127" s="16"/>
    </row>
    <row r="128" spans="1:2" ht="12.75" customHeight="1" x14ac:dyDescent="0.15">
      <c r="A128" s="16"/>
      <c r="B128" s="16"/>
    </row>
    <row r="129" spans="1:2" ht="12.75" customHeight="1" x14ac:dyDescent="0.15">
      <c r="A129" s="16"/>
      <c r="B129" s="16"/>
    </row>
    <row r="130" spans="1:2" ht="12.75" customHeight="1" x14ac:dyDescent="0.15">
      <c r="A130" s="16"/>
      <c r="B130" s="16"/>
    </row>
    <row r="131" spans="1:2" ht="12.75" customHeight="1" x14ac:dyDescent="0.15">
      <c r="A131" s="16"/>
      <c r="B131" s="16"/>
    </row>
    <row r="132" spans="1:2" ht="12.75" customHeight="1" x14ac:dyDescent="0.15">
      <c r="A132" s="16"/>
      <c r="B132" s="16"/>
    </row>
    <row r="133" spans="1:2" ht="12.75" customHeight="1" x14ac:dyDescent="0.15">
      <c r="A133" s="16"/>
      <c r="B133" s="16"/>
    </row>
    <row r="134" spans="1:2" ht="12.75" customHeight="1" x14ac:dyDescent="0.15">
      <c r="A134" s="16"/>
      <c r="B134" s="16"/>
    </row>
    <row r="135" spans="1:2" ht="12.75" customHeight="1" x14ac:dyDescent="0.15">
      <c r="A135" s="16"/>
      <c r="B135" s="16"/>
    </row>
    <row r="136" spans="1:2" ht="12.75" customHeight="1" x14ac:dyDescent="0.15">
      <c r="A136" s="16"/>
      <c r="B136" s="16"/>
    </row>
    <row r="137" spans="1:2" ht="12.75" customHeight="1" x14ac:dyDescent="0.15">
      <c r="A137" s="16"/>
      <c r="B137" s="16"/>
    </row>
    <row r="138" spans="1:2" ht="12.75" customHeight="1" x14ac:dyDescent="0.15">
      <c r="A138" s="16"/>
      <c r="B138" s="16"/>
    </row>
    <row r="139" spans="1:2" ht="12.75" customHeight="1" x14ac:dyDescent="0.15">
      <c r="A139" s="16"/>
      <c r="B139" s="16"/>
    </row>
    <row r="140" spans="1:2" ht="12.75" customHeight="1" x14ac:dyDescent="0.15">
      <c r="A140" s="16"/>
      <c r="B140" s="16"/>
    </row>
    <row r="141" spans="1:2" ht="12.75" customHeight="1" x14ac:dyDescent="0.15">
      <c r="A141" s="16"/>
      <c r="B141" s="16"/>
    </row>
    <row r="142" spans="1:2" ht="12.75" customHeight="1" x14ac:dyDescent="0.15">
      <c r="A142" s="16"/>
      <c r="B142" s="16"/>
    </row>
    <row r="143" spans="1:2" ht="12.75" customHeight="1" x14ac:dyDescent="0.15">
      <c r="A143" s="16"/>
      <c r="B143" s="16"/>
    </row>
    <row r="144" spans="1:2" ht="12.75" customHeight="1" x14ac:dyDescent="0.15">
      <c r="A144" s="16"/>
      <c r="B144" s="16"/>
    </row>
    <row r="145" spans="1:2" ht="12.75" customHeight="1" x14ac:dyDescent="0.15">
      <c r="A145" s="16"/>
      <c r="B145" s="16"/>
    </row>
    <row r="146" spans="1:2" ht="12.75" customHeight="1" x14ac:dyDescent="0.15">
      <c r="A146" s="16"/>
      <c r="B146" s="16"/>
    </row>
    <row r="147" spans="1:2" ht="12.75" customHeight="1" x14ac:dyDescent="0.15">
      <c r="A147" s="16"/>
      <c r="B147" s="16"/>
    </row>
    <row r="148" spans="1:2" ht="12.75" customHeight="1" x14ac:dyDescent="0.15">
      <c r="A148" s="16"/>
      <c r="B148" s="16"/>
    </row>
    <row r="149" spans="1:2" ht="12.75" customHeight="1" x14ac:dyDescent="0.15">
      <c r="A149" s="16"/>
      <c r="B149" s="16"/>
    </row>
    <row r="150" spans="1:2" ht="12.75" customHeight="1" x14ac:dyDescent="0.15">
      <c r="A150" s="16"/>
      <c r="B150" s="16"/>
    </row>
    <row r="151" spans="1:2" ht="12.75" customHeight="1" x14ac:dyDescent="0.15">
      <c r="A151" s="16"/>
      <c r="B151" s="16"/>
    </row>
    <row r="152" spans="1:2" ht="12.75" customHeight="1" x14ac:dyDescent="0.15">
      <c r="A152" s="16"/>
      <c r="B152" s="16"/>
    </row>
    <row r="153" spans="1:2" ht="12.75" customHeight="1" x14ac:dyDescent="0.15">
      <c r="A153" s="16"/>
      <c r="B153" s="16"/>
    </row>
    <row r="154" spans="1:2" ht="12.75" customHeight="1" x14ac:dyDescent="0.15">
      <c r="A154" s="16"/>
      <c r="B154" s="16"/>
    </row>
    <row r="155" spans="1:2" ht="12.75" customHeight="1" x14ac:dyDescent="0.15">
      <c r="A155" s="16"/>
      <c r="B155" s="16"/>
    </row>
    <row r="156" spans="1:2" ht="12.75" customHeight="1" x14ac:dyDescent="0.15">
      <c r="A156" s="16"/>
      <c r="B156" s="16"/>
    </row>
    <row r="157" spans="1:2" ht="12.75" customHeight="1" x14ac:dyDescent="0.15">
      <c r="A157" s="16"/>
      <c r="B157" s="16"/>
    </row>
    <row r="158" spans="1:2" ht="12.75" customHeight="1" x14ac:dyDescent="0.15">
      <c r="A158" s="16"/>
      <c r="B158" s="16"/>
    </row>
    <row r="159" spans="1:2" ht="12.75" customHeight="1" x14ac:dyDescent="0.15">
      <c r="A159" s="16"/>
      <c r="B159" s="16"/>
    </row>
    <row r="160" spans="1:2" ht="12.75" customHeight="1" x14ac:dyDescent="0.15">
      <c r="A160" s="16"/>
      <c r="B160" s="16"/>
    </row>
    <row r="161" spans="1:2" ht="12.75" customHeight="1" x14ac:dyDescent="0.15">
      <c r="A161" s="16"/>
      <c r="B161" s="16"/>
    </row>
    <row r="162" spans="1:2" ht="12.75" customHeight="1" x14ac:dyDescent="0.15">
      <c r="A162" s="16"/>
      <c r="B162" s="16"/>
    </row>
    <row r="163" spans="1:2" ht="12.75" customHeight="1" x14ac:dyDescent="0.15">
      <c r="A163" s="16"/>
      <c r="B163" s="16"/>
    </row>
    <row r="164" spans="1:2" ht="12.75" customHeight="1" x14ac:dyDescent="0.15">
      <c r="A164" s="16"/>
      <c r="B164" s="16"/>
    </row>
    <row r="165" spans="1:2" ht="12.75" customHeight="1" x14ac:dyDescent="0.15">
      <c r="A165" s="16"/>
      <c r="B165" s="16"/>
    </row>
    <row r="166" spans="1:2" ht="12.75" customHeight="1" x14ac:dyDescent="0.15">
      <c r="A166" s="16"/>
      <c r="B166" s="16"/>
    </row>
    <row r="167" spans="1:2" ht="12.75" customHeight="1" x14ac:dyDescent="0.15">
      <c r="A167" s="16"/>
      <c r="B167" s="16"/>
    </row>
    <row r="168" spans="1:2" ht="12.75" customHeight="1" x14ac:dyDescent="0.15">
      <c r="A168" s="16"/>
      <c r="B168" s="16"/>
    </row>
    <row r="169" spans="1:2" ht="12.75" customHeight="1" x14ac:dyDescent="0.15">
      <c r="A169" s="16"/>
      <c r="B169" s="16"/>
    </row>
    <row r="170" spans="1:2" ht="12.75" customHeight="1" x14ac:dyDescent="0.15">
      <c r="A170" s="16"/>
      <c r="B170" s="16"/>
    </row>
    <row r="171" spans="1:2" ht="12.75" customHeight="1" x14ac:dyDescent="0.15">
      <c r="A171" s="16"/>
      <c r="B171" s="16"/>
    </row>
    <row r="172" spans="1:2" ht="12.75" customHeight="1" x14ac:dyDescent="0.15">
      <c r="A172" s="16"/>
      <c r="B172" s="16"/>
    </row>
    <row r="173" spans="1:2" ht="12.75" customHeight="1" x14ac:dyDescent="0.15">
      <c r="A173" s="16"/>
      <c r="B173" s="16"/>
    </row>
    <row r="174" spans="1:2" ht="12.75" customHeight="1" x14ac:dyDescent="0.15">
      <c r="A174" s="16"/>
      <c r="B174" s="16"/>
    </row>
    <row r="175" spans="1:2" ht="12.75" customHeight="1" x14ac:dyDescent="0.15">
      <c r="A175" s="16"/>
      <c r="B175" s="16"/>
    </row>
    <row r="176" spans="1:2" ht="12.75" customHeight="1" x14ac:dyDescent="0.15">
      <c r="A176" s="16"/>
      <c r="B176" s="16"/>
    </row>
    <row r="177" spans="1:2" ht="12.75" customHeight="1" x14ac:dyDescent="0.15">
      <c r="A177" s="16"/>
      <c r="B177" s="16"/>
    </row>
    <row r="178" spans="1:2" ht="12.75" customHeight="1" x14ac:dyDescent="0.15">
      <c r="A178" s="16"/>
      <c r="B178" s="16"/>
    </row>
    <row r="179" spans="1:2" ht="12.75" customHeight="1" x14ac:dyDescent="0.15">
      <c r="A179" s="16"/>
      <c r="B179" s="16"/>
    </row>
    <row r="180" spans="1:2" ht="12.75" customHeight="1" x14ac:dyDescent="0.15">
      <c r="A180" s="16"/>
      <c r="B180" s="16"/>
    </row>
    <row r="181" spans="1:2" ht="12.75" customHeight="1" x14ac:dyDescent="0.15">
      <c r="A181" s="16"/>
      <c r="B181" s="16"/>
    </row>
    <row r="182" spans="1:2" ht="12.75" customHeight="1" x14ac:dyDescent="0.15">
      <c r="A182" s="16"/>
      <c r="B182" s="16"/>
    </row>
    <row r="183" spans="1:2" ht="12.75" customHeight="1" x14ac:dyDescent="0.15">
      <c r="A183" s="16"/>
      <c r="B183" s="16"/>
    </row>
    <row r="184" spans="1:2" ht="12.75" customHeight="1" x14ac:dyDescent="0.15">
      <c r="A184" s="16"/>
      <c r="B184" s="16"/>
    </row>
    <row r="185" spans="1:2" ht="12.75" customHeight="1" x14ac:dyDescent="0.15">
      <c r="A185" s="16"/>
      <c r="B185" s="16"/>
    </row>
    <row r="186" spans="1:2" ht="12.75" customHeight="1" x14ac:dyDescent="0.15">
      <c r="A186" s="16"/>
      <c r="B186" s="16"/>
    </row>
    <row r="187" spans="1:2" ht="12.75" customHeight="1" x14ac:dyDescent="0.15">
      <c r="A187" s="16"/>
      <c r="B187" s="16"/>
    </row>
    <row r="188" spans="1:2" ht="12.75" customHeight="1" x14ac:dyDescent="0.15">
      <c r="A188" s="16"/>
      <c r="B188" s="16"/>
    </row>
    <row r="189" spans="1:2" ht="12.75" customHeight="1" x14ac:dyDescent="0.15">
      <c r="A189" s="16"/>
      <c r="B189" s="16"/>
    </row>
    <row r="190" spans="1:2" ht="12.75" customHeight="1" x14ac:dyDescent="0.15">
      <c r="A190" s="16"/>
      <c r="B190" s="16"/>
    </row>
    <row r="191" spans="1:2" ht="12.75" customHeight="1" x14ac:dyDescent="0.15">
      <c r="A191" s="16"/>
      <c r="B191" s="16"/>
    </row>
    <row r="192" spans="1:2" ht="12.75" customHeight="1" x14ac:dyDescent="0.15">
      <c r="A192" s="16"/>
      <c r="B192" s="16"/>
    </row>
    <row r="193" spans="1:2" ht="12.75" customHeight="1" x14ac:dyDescent="0.15">
      <c r="A193" s="16"/>
      <c r="B193" s="16"/>
    </row>
    <row r="194" spans="1:2" ht="12.75" customHeight="1" x14ac:dyDescent="0.15">
      <c r="A194" s="16"/>
      <c r="B194" s="16"/>
    </row>
    <row r="195" spans="1:2" ht="12.75" customHeight="1" x14ac:dyDescent="0.15">
      <c r="A195" s="16"/>
      <c r="B195" s="16"/>
    </row>
    <row r="196" spans="1:2" ht="12.75" customHeight="1" x14ac:dyDescent="0.15">
      <c r="A196" s="16"/>
      <c r="B196" s="16"/>
    </row>
    <row r="197" spans="1:2" ht="12.75" customHeight="1" x14ac:dyDescent="0.15">
      <c r="A197" s="16"/>
      <c r="B197" s="16"/>
    </row>
    <row r="198" spans="1:2" ht="12.75" customHeight="1" x14ac:dyDescent="0.15">
      <c r="A198" s="16"/>
      <c r="B198" s="16"/>
    </row>
    <row r="199" spans="1:2" ht="12.75" customHeight="1" x14ac:dyDescent="0.15">
      <c r="A199" s="16"/>
      <c r="B199" s="16"/>
    </row>
    <row r="200" spans="1:2" ht="12.75" customHeight="1" x14ac:dyDescent="0.15">
      <c r="A200" s="16"/>
      <c r="B200" s="16"/>
    </row>
    <row r="201" spans="1:2" ht="12.75" customHeight="1" x14ac:dyDescent="0.15">
      <c r="A201" s="16"/>
      <c r="B201" s="16"/>
    </row>
    <row r="202" spans="1:2" ht="12.75" customHeight="1" x14ac:dyDescent="0.15">
      <c r="A202" s="16"/>
      <c r="B202" s="16"/>
    </row>
    <row r="203" spans="1:2" ht="12.75" customHeight="1" x14ac:dyDescent="0.15">
      <c r="A203" s="16"/>
      <c r="B203" s="16"/>
    </row>
    <row r="204" spans="1:2" ht="12.75" customHeight="1" x14ac:dyDescent="0.15">
      <c r="A204" s="16"/>
      <c r="B204" s="16"/>
    </row>
    <row r="205" spans="1:2" ht="12.75" customHeight="1" x14ac:dyDescent="0.15">
      <c r="A205" s="16"/>
      <c r="B205" s="16"/>
    </row>
    <row r="206" spans="1:2" ht="12.75" customHeight="1" x14ac:dyDescent="0.15">
      <c r="A206" s="16"/>
      <c r="B206" s="16"/>
    </row>
    <row r="207" spans="1:2" ht="12.75" customHeight="1" x14ac:dyDescent="0.15">
      <c r="A207" s="16"/>
      <c r="B207" s="16"/>
    </row>
    <row r="208" spans="1:2" ht="12.75" customHeight="1" x14ac:dyDescent="0.15">
      <c r="A208" s="16"/>
      <c r="B208" s="16"/>
    </row>
    <row r="209" spans="1:2" ht="12.75" customHeight="1" x14ac:dyDescent="0.15">
      <c r="A209" s="16"/>
      <c r="B209" s="16"/>
    </row>
    <row r="210" spans="1:2" ht="12.75" customHeight="1" x14ac:dyDescent="0.15">
      <c r="A210" s="16"/>
      <c r="B210" s="16"/>
    </row>
    <row r="211" spans="1:2" ht="12.75" customHeight="1" x14ac:dyDescent="0.15">
      <c r="A211" s="16"/>
      <c r="B211" s="16"/>
    </row>
    <row r="212" spans="1:2" ht="12.75" customHeight="1" x14ac:dyDescent="0.15">
      <c r="A212" s="16"/>
      <c r="B212" s="16"/>
    </row>
    <row r="213" spans="1:2" ht="12.75" customHeight="1" x14ac:dyDescent="0.15">
      <c r="A213" s="16"/>
      <c r="B213" s="16"/>
    </row>
    <row r="214" spans="1:2" ht="12.75" customHeight="1" x14ac:dyDescent="0.15">
      <c r="A214" s="16"/>
      <c r="B214" s="16"/>
    </row>
    <row r="215" spans="1:2" ht="12.75" customHeight="1" x14ac:dyDescent="0.15">
      <c r="A215" s="16"/>
      <c r="B215" s="16"/>
    </row>
    <row r="216" spans="1:2" ht="12.75" customHeight="1" x14ac:dyDescent="0.15">
      <c r="A216" s="16"/>
      <c r="B216" s="16"/>
    </row>
    <row r="217" spans="1:2" ht="12.75" customHeight="1" x14ac:dyDescent="0.15">
      <c r="A217" s="16"/>
      <c r="B217" s="16"/>
    </row>
    <row r="218" spans="1:2" ht="12.75" customHeight="1" x14ac:dyDescent="0.15">
      <c r="A218" s="16"/>
      <c r="B218" s="16"/>
    </row>
    <row r="219" spans="1:2" ht="12.75" customHeight="1" x14ac:dyDescent="0.15">
      <c r="A219" s="16"/>
      <c r="B219" s="16"/>
    </row>
    <row r="220" spans="1:2" ht="12.75" customHeight="1" x14ac:dyDescent="0.15">
      <c r="A220" s="16"/>
      <c r="B220" s="16"/>
    </row>
    <row r="221" spans="1:2" ht="12.75" customHeight="1" x14ac:dyDescent="0.15">
      <c r="A221" s="16"/>
      <c r="B221" s="16"/>
    </row>
    <row r="222" spans="1:2" ht="12.75" customHeight="1" x14ac:dyDescent="0.15">
      <c r="A222" s="16"/>
      <c r="B222" s="16"/>
    </row>
    <row r="223" spans="1:2" ht="12.75" customHeight="1" x14ac:dyDescent="0.15">
      <c r="A223" s="16"/>
      <c r="B223" s="16"/>
    </row>
    <row r="224" spans="1:2" ht="12.75" customHeight="1" x14ac:dyDescent="0.15">
      <c r="A224" s="16"/>
      <c r="B224" s="16"/>
    </row>
    <row r="225" spans="1:2" ht="12.75" customHeight="1" x14ac:dyDescent="0.15">
      <c r="A225" s="16"/>
      <c r="B225" s="16"/>
    </row>
    <row r="226" spans="1:2" ht="12.75" customHeight="1" x14ac:dyDescent="0.15">
      <c r="A226" s="16"/>
      <c r="B226" s="16"/>
    </row>
    <row r="227" spans="1:2" ht="12.75" customHeight="1" x14ac:dyDescent="0.15">
      <c r="A227" s="16"/>
      <c r="B227" s="16"/>
    </row>
    <row r="228" spans="1:2" ht="12.75" customHeight="1" x14ac:dyDescent="0.15">
      <c r="A228" s="16"/>
      <c r="B228" s="16"/>
    </row>
    <row r="229" spans="1:2" ht="12.75" customHeight="1" x14ac:dyDescent="0.15">
      <c r="A229" s="16"/>
      <c r="B229" s="16"/>
    </row>
    <row r="230" spans="1:2" ht="12.75" customHeight="1" x14ac:dyDescent="0.15">
      <c r="A230" s="16"/>
      <c r="B230" s="16"/>
    </row>
    <row r="231" spans="1:2" ht="12.75" customHeight="1" x14ac:dyDescent="0.15">
      <c r="A231" s="16"/>
      <c r="B231" s="16"/>
    </row>
    <row r="232" spans="1:2" ht="12.75" customHeight="1" x14ac:dyDescent="0.15">
      <c r="A232" s="16"/>
      <c r="B232" s="16"/>
    </row>
    <row r="233" spans="1:2" ht="12.75" customHeight="1" x14ac:dyDescent="0.15">
      <c r="A233" s="16"/>
      <c r="B233" s="16"/>
    </row>
    <row r="234" spans="1:2" ht="12.75" customHeight="1" x14ac:dyDescent="0.15">
      <c r="A234" s="16"/>
      <c r="B234" s="16"/>
    </row>
    <row r="235" spans="1:2" ht="12.75" customHeight="1" x14ac:dyDescent="0.15">
      <c r="A235" s="16"/>
      <c r="B235" s="16"/>
    </row>
    <row r="236" spans="1:2" ht="12.75" customHeight="1" x14ac:dyDescent="0.15">
      <c r="A236" s="16"/>
      <c r="B236" s="16"/>
    </row>
    <row r="237" spans="1:2" ht="12.75" customHeight="1" x14ac:dyDescent="0.15">
      <c r="A237" s="16"/>
      <c r="B237" s="16"/>
    </row>
    <row r="238" spans="1:2" ht="12.75" customHeight="1" x14ac:dyDescent="0.15">
      <c r="A238" s="16"/>
      <c r="B238" s="16"/>
    </row>
    <row r="239" spans="1:2" ht="12.75" customHeight="1" x14ac:dyDescent="0.15">
      <c r="A239" s="16"/>
      <c r="B239" s="16"/>
    </row>
    <row r="240" spans="1:2" ht="12.75" customHeight="1" x14ac:dyDescent="0.15">
      <c r="A240" s="16"/>
      <c r="B240" s="16"/>
    </row>
    <row r="241" spans="1:2" ht="12.75" customHeight="1" x14ac:dyDescent="0.15">
      <c r="A241" s="16"/>
      <c r="B241" s="16"/>
    </row>
    <row r="242" spans="1:2" ht="12.75" customHeight="1" x14ac:dyDescent="0.15">
      <c r="A242" s="16"/>
      <c r="B242" s="16"/>
    </row>
    <row r="243" spans="1:2" ht="12.75" customHeight="1" x14ac:dyDescent="0.15">
      <c r="A243" s="16"/>
      <c r="B243" s="16"/>
    </row>
    <row r="244" spans="1:2" ht="12.75" customHeight="1" x14ac:dyDescent="0.15">
      <c r="A244" s="16"/>
      <c r="B244" s="16"/>
    </row>
    <row r="245" spans="1:2" ht="12.75" customHeight="1" x14ac:dyDescent="0.15">
      <c r="A245" s="16"/>
      <c r="B245" s="16"/>
    </row>
    <row r="246" spans="1:2" ht="12.75" customHeight="1" x14ac:dyDescent="0.15">
      <c r="A246" s="16"/>
      <c r="B246" s="16"/>
    </row>
    <row r="247" spans="1:2" ht="12.75" customHeight="1" x14ac:dyDescent="0.15">
      <c r="A247" s="16"/>
      <c r="B247" s="16"/>
    </row>
    <row r="248" spans="1:2" ht="12.75" customHeight="1" x14ac:dyDescent="0.15">
      <c r="A248" s="16"/>
      <c r="B248" s="16"/>
    </row>
    <row r="249" spans="1:2" ht="12.75" customHeight="1" x14ac:dyDescent="0.15">
      <c r="A249" s="16"/>
      <c r="B249" s="16"/>
    </row>
    <row r="250" spans="1:2" ht="12.75" customHeight="1" x14ac:dyDescent="0.15">
      <c r="A250" s="16"/>
      <c r="B250" s="16"/>
    </row>
    <row r="251" spans="1:2" ht="12.75" customHeight="1" x14ac:dyDescent="0.15">
      <c r="A251" s="16"/>
      <c r="B251" s="16"/>
    </row>
    <row r="252" spans="1:2" ht="12.75" customHeight="1" x14ac:dyDescent="0.15">
      <c r="A252" s="16"/>
      <c r="B252" s="16"/>
    </row>
    <row r="253" spans="1:2" ht="12.75" customHeight="1" x14ac:dyDescent="0.15">
      <c r="A253" s="16"/>
      <c r="B253" s="16"/>
    </row>
    <row r="254" spans="1:2" ht="12.75" customHeight="1" x14ac:dyDescent="0.15">
      <c r="A254" s="16"/>
      <c r="B254" s="16"/>
    </row>
    <row r="255" spans="1:2" ht="12.75" customHeight="1" x14ac:dyDescent="0.15">
      <c r="A255" s="16"/>
      <c r="B255" s="16"/>
    </row>
    <row r="256" spans="1:2" ht="12.75" customHeight="1" x14ac:dyDescent="0.15">
      <c r="A256" s="16"/>
      <c r="B256" s="16"/>
    </row>
    <row r="257" spans="1:2" ht="12.75" customHeight="1" x14ac:dyDescent="0.15">
      <c r="A257" s="16"/>
      <c r="B257" s="16"/>
    </row>
    <row r="258" spans="1:2" ht="12.75" customHeight="1" x14ac:dyDescent="0.15">
      <c r="A258" s="16"/>
      <c r="B258" s="16"/>
    </row>
    <row r="259" spans="1:2" ht="12.75" customHeight="1" x14ac:dyDescent="0.15">
      <c r="A259" s="16"/>
      <c r="B259" s="16"/>
    </row>
    <row r="260" spans="1:2" ht="12.75" customHeight="1" x14ac:dyDescent="0.15">
      <c r="A260" s="16"/>
      <c r="B260" s="16"/>
    </row>
    <row r="261" spans="1:2" ht="12.75" customHeight="1" x14ac:dyDescent="0.15">
      <c r="A261" s="16"/>
      <c r="B261" s="16"/>
    </row>
    <row r="262" spans="1:2" ht="12.75" customHeight="1" x14ac:dyDescent="0.15">
      <c r="A262" s="16"/>
      <c r="B262" s="16"/>
    </row>
    <row r="263" spans="1:2" ht="12.75" customHeight="1" x14ac:dyDescent="0.15">
      <c r="A263" s="16"/>
      <c r="B263" s="16"/>
    </row>
    <row r="264" spans="1:2" ht="12.75" customHeight="1" x14ac:dyDescent="0.15">
      <c r="A264" s="16"/>
      <c r="B264" s="16"/>
    </row>
    <row r="265" spans="1:2" ht="12.75" customHeight="1" x14ac:dyDescent="0.15">
      <c r="A265" s="16"/>
      <c r="B265" s="16"/>
    </row>
    <row r="266" spans="1:2" ht="12.75" customHeight="1" x14ac:dyDescent="0.15">
      <c r="A266" s="16"/>
      <c r="B266" s="16"/>
    </row>
    <row r="267" spans="1:2" ht="12.75" customHeight="1" x14ac:dyDescent="0.15">
      <c r="A267" s="16"/>
      <c r="B267" s="16"/>
    </row>
    <row r="268" spans="1:2" ht="12.75" customHeight="1" x14ac:dyDescent="0.15">
      <c r="A268" s="16"/>
      <c r="B268" s="16"/>
    </row>
    <row r="269" spans="1:2" ht="12.75" customHeight="1" x14ac:dyDescent="0.15">
      <c r="A269" s="16"/>
      <c r="B269" s="16"/>
    </row>
    <row r="270" spans="1:2" ht="15.75" customHeight="1" x14ac:dyDescent="0.15"/>
    <row r="271" spans="1:2" ht="15.75" customHeight="1" x14ac:dyDescent="0.15"/>
    <row r="272" spans="1: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99">
    <mergeCell ref="B11:J11"/>
    <mergeCell ref="B1:J1"/>
    <mergeCell ref="A2:J2"/>
    <mergeCell ref="A3:J3"/>
    <mergeCell ref="B4:J4"/>
    <mergeCell ref="B5:J5"/>
    <mergeCell ref="B6:E6"/>
    <mergeCell ref="F6:J6"/>
    <mergeCell ref="B7:E7"/>
    <mergeCell ref="F7:J7"/>
    <mergeCell ref="B8:J8"/>
    <mergeCell ref="B9:J9"/>
    <mergeCell ref="B10:J10"/>
    <mergeCell ref="A12:A13"/>
    <mergeCell ref="B12:F12"/>
    <mergeCell ref="G12:G13"/>
    <mergeCell ref="H12:I13"/>
    <mergeCell ref="J12:J13"/>
    <mergeCell ref="B13:F13"/>
    <mergeCell ref="A14:A15"/>
    <mergeCell ref="C14:J14"/>
    <mergeCell ref="C15:J15"/>
    <mergeCell ref="A16:A17"/>
    <mergeCell ref="B16:C16"/>
    <mergeCell ref="D16:F16"/>
    <mergeCell ref="G16:H16"/>
    <mergeCell ref="I16:J16"/>
    <mergeCell ref="B17:C17"/>
    <mergeCell ref="D17:F17"/>
    <mergeCell ref="B27:J27"/>
    <mergeCell ref="G17:H17"/>
    <mergeCell ref="I17:J17"/>
    <mergeCell ref="A18:A20"/>
    <mergeCell ref="B18:B20"/>
    <mergeCell ref="D18:E18"/>
    <mergeCell ref="F18:G20"/>
    <mergeCell ref="H18:J20"/>
    <mergeCell ref="C19:C20"/>
    <mergeCell ref="D19:E20"/>
    <mergeCell ref="B21:J21"/>
    <mergeCell ref="A22:A25"/>
    <mergeCell ref="B22:J22"/>
    <mergeCell ref="B23:J25"/>
    <mergeCell ref="A26:J26"/>
    <mergeCell ref="A30:A31"/>
    <mergeCell ref="B30:B31"/>
    <mergeCell ref="C30:E31"/>
    <mergeCell ref="F30:F31"/>
    <mergeCell ref="G30:J31"/>
    <mergeCell ref="C38:E40"/>
    <mergeCell ref="F38:F40"/>
    <mergeCell ref="C41:E43"/>
    <mergeCell ref="B28:J28"/>
    <mergeCell ref="B29:J29"/>
    <mergeCell ref="A55:D55"/>
    <mergeCell ref="E55:F55"/>
    <mergeCell ref="G55:J55"/>
    <mergeCell ref="F41:F43"/>
    <mergeCell ref="C44:E46"/>
    <mergeCell ref="F44:F46"/>
    <mergeCell ref="C47:E49"/>
    <mergeCell ref="F47:F49"/>
    <mergeCell ref="A50:J50"/>
    <mergeCell ref="A32:A49"/>
    <mergeCell ref="B32:B49"/>
    <mergeCell ref="C32:E34"/>
    <mergeCell ref="F32:F34"/>
    <mergeCell ref="G32:J49"/>
    <mergeCell ref="C35:E37"/>
    <mergeCell ref="F35:F37"/>
    <mergeCell ref="B51:J51"/>
    <mergeCell ref="A52:J52"/>
    <mergeCell ref="A53:D54"/>
    <mergeCell ref="E53:F54"/>
    <mergeCell ref="G53:J54"/>
    <mergeCell ref="A56:D56"/>
    <mergeCell ref="E56:F56"/>
    <mergeCell ref="G56:J56"/>
    <mergeCell ref="A57:D57"/>
    <mergeCell ref="E57:F57"/>
    <mergeCell ref="G57:J57"/>
    <mergeCell ref="A58:D58"/>
    <mergeCell ref="E58:F58"/>
    <mergeCell ref="G58:J58"/>
    <mergeCell ref="A59:D59"/>
    <mergeCell ref="E59:F59"/>
    <mergeCell ref="G59:J59"/>
    <mergeCell ref="B69:J69"/>
    <mergeCell ref="A60:D60"/>
    <mergeCell ref="E60:F60"/>
    <mergeCell ref="G60:J60"/>
    <mergeCell ref="A61:J61"/>
    <mergeCell ref="B62:J62"/>
    <mergeCell ref="B63:J63"/>
    <mergeCell ref="B64:J64"/>
    <mergeCell ref="B65:J65"/>
    <mergeCell ref="B66:J66"/>
    <mergeCell ref="A67:J67"/>
    <mergeCell ref="B68:J68"/>
  </mergeCells>
  <dataValidations count="5">
    <dataValidation type="list" allowBlank="1" showInputMessage="1" showErrorMessage="1" prompt="Seleccione el Área del Conocimiento_x000a_" sqref="B7" xr:uid="{A1BF3504-1433-D046-BA28-8EA1299F4DB9}">
      <formula1>AMPLIONBC</formula1>
    </dataValidation>
    <dataValidation type="list" allowBlank="1" showErrorMessage="1" sqref="B9:B10" xr:uid="{8EC09BE6-5849-3846-94B6-FB814EC904D2}">
      <formula1>INDIRECT(B8)</formula1>
    </dataValidation>
    <dataValidation type="list" allowBlank="1" showInputMessage="1" showErrorMessage="1" prompt="Seleccione el campo detallado" sqref="F6" xr:uid="{B3BB647C-FC4E-8742-9D48-C0B3FB38E0E1}">
      <formula1>INDIRECT(B6)</formula1>
    </dataValidation>
    <dataValidation type="list" allowBlank="1" showInputMessage="1" showErrorMessage="1" prompt="Seleccione el Núcleo Básico de Conocimiento_x000a_" sqref="F7" xr:uid="{1B8DA6CD-5288-1143-934A-C0B0C433043E}">
      <formula1>INDIRECT(B7)</formula1>
    </dataValidation>
    <dataValidation type="list" allowBlank="1" showInputMessage="1" showErrorMessage="1" prompt="Seleccione el Campo Amplio" sqref="B6" xr:uid="{B5FB2F32-9F30-CD49-A848-9F71C79147CD}">
      <formula1>AMPLIO</formula1>
    </dataValidation>
  </dataValidations>
  <hyperlinks>
    <hyperlink ref="B64" r:id="rId1" xr:uid="{5C6358D7-7A97-774A-AD85-FC8AA0C77C1E}"/>
  </hyperlinks>
  <pageMargins left="0.7" right="0.7" top="0.75" bottom="0.75" header="0" footer="0"/>
  <pageSetup orientation="landscape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Optimizacion De Redes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Javier Cano Mogollon</dc:creator>
  <cp:lastModifiedBy>Cristian Javier Cano Mogollon</cp:lastModifiedBy>
  <dcterms:created xsi:type="dcterms:W3CDTF">2026-03-24T19:54:13Z</dcterms:created>
  <dcterms:modified xsi:type="dcterms:W3CDTF">2026-03-25T21:17:54Z</dcterms:modified>
</cp:coreProperties>
</file>